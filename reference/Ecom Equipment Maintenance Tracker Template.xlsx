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yara\Desktop\Equipment\"/>
    </mc:Choice>
  </mc:AlternateContent>
  <xr:revisionPtr revIDLastSave="0" documentId="13_ncr:1_{D6416D1D-671C-4EBB-8C4D-4B4C9449AB46}" xr6:coauthVersionLast="47" xr6:coauthVersionMax="47" xr10:uidLastSave="{00000000-0000-0000-0000-000000000000}"/>
  <bookViews>
    <workbookView xWindow="-108" yWindow="-108" windowWidth="23256" windowHeight="13896" tabRatio="500" firstSheet="2" activeTab="3" xr2:uid="{00000000-000D-0000-FFFF-FFFF00000000}"/>
  </bookViews>
  <sheets>
    <sheet name="Instructions" sheetId="1" r:id="rId1"/>
    <sheet name="Equipment Master" sheetId="2" r:id="rId2"/>
    <sheet name="Maintenance History 2025" sheetId="3" r:id="rId3"/>
    <sheet name="PM Schedule 2026-2027" sheetId="4" r:id="rId4"/>
    <sheet name="Dashboard" sheetId="7" r:id="rId5"/>
    <sheet name="Cost Analysis" sheetId="5" r:id="rId6"/>
    <sheet name="Invoice Verification" sheetId="6" r:id="rId7"/>
    <sheet name="Action Plan" sheetId="11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" i="4" l="1"/>
  <c r="V33" i="6"/>
  <c r="G50" i="6"/>
  <c r="H50" i="6" s="1"/>
  <c r="I50" i="6" s="1"/>
  <c r="G49" i="6"/>
  <c r="H49" i="6"/>
  <c r="I49" i="6"/>
  <c r="G48" i="6"/>
  <c r="H48" i="6"/>
  <c r="I48" i="6"/>
  <c r="G47" i="6"/>
  <c r="H47" i="6" s="1"/>
  <c r="I47" i="6" s="1"/>
  <c r="G46" i="6"/>
  <c r="H46" i="6"/>
  <c r="I46" i="6" s="1"/>
  <c r="G45" i="6"/>
  <c r="H45" i="6"/>
  <c r="I45" i="6"/>
  <c r="G44" i="6"/>
  <c r="H44" i="6" s="1"/>
  <c r="I44" i="6" s="1"/>
  <c r="G43" i="6"/>
  <c r="H43" i="6" s="1"/>
  <c r="I43" i="6" s="1"/>
  <c r="G42" i="6"/>
  <c r="H42" i="6" s="1"/>
  <c r="I42" i="6" s="1"/>
  <c r="G41" i="6"/>
  <c r="H41" i="6" s="1"/>
  <c r="I41" i="6" s="1"/>
  <c r="G40" i="6"/>
  <c r="H40" i="6" s="1"/>
  <c r="I40" i="6" s="1"/>
  <c r="G39" i="6"/>
  <c r="H39" i="6" s="1"/>
  <c r="I39" i="6" s="1"/>
  <c r="G38" i="6"/>
  <c r="H38" i="6" s="1"/>
  <c r="I38" i="6" s="1"/>
  <c r="G37" i="6"/>
  <c r="H37" i="6"/>
  <c r="I37" i="6" s="1"/>
  <c r="G36" i="6"/>
  <c r="H36" i="6" s="1"/>
  <c r="I36" i="6" s="1"/>
  <c r="G35" i="6"/>
  <c r="H35" i="6"/>
  <c r="I35" i="6"/>
  <c r="G34" i="6"/>
  <c r="H34" i="6" s="1"/>
  <c r="I34" i="6" s="1"/>
  <c r="G33" i="6"/>
  <c r="H33" i="6" s="1"/>
  <c r="I33" i="6" s="1"/>
  <c r="G32" i="6"/>
  <c r="H32" i="6" s="1"/>
  <c r="I32" i="6" s="1"/>
  <c r="G31" i="6"/>
  <c r="H31" i="6" s="1"/>
  <c r="I31" i="6" s="1"/>
  <c r="G7" i="4"/>
  <c r="G8" i="4"/>
  <c r="G9" i="4"/>
  <c r="G10" i="4"/>
  <c r="G11" i="4"/>
  <c r="G12" i="4"/>
  <c r="G13" i="4"/>
  <c r="H13" i="4" s="1"/>
  <c r="G14" i="4"/>
  <c r="H14" i="4" s="1"/>
  <c r="G15" i="4"/>
  <c r="H15" i="4" s="1"/>
  <c r="G16" i="4"/>
  <c r="H16" i="4" s="1"/>
  <c r="G17" i="4"/>
  <c r="H17" i="4" s="1"/>
  <c r="G18" i="4"/>
  <c r="H18" i="4" s="1"/>
  <c r="G19" i="4"/>
  <c r="H19" i="4" s="1"/>
  <c r="G20" i="4"/>
  <c r="H20" i="4" s="1"/>
  <c r="G21" i="4"/>
  <c r="H21" i="4" s="1"/>
  <c r="G4" i="6"/>
  <c r="H4" i="6"/>
  <c r="I4" i="6" s="1"/>
  <c r="G5" i="6"/>
  <c r="H5" i="6"/>
  <c r="I5" i="6" s="1"/>
  <c r="G6" i="6"/>
  <c r="H6" i="6" s="1"/>
  <c r="I6" i="6" s="1"/>
  <c r="H7" i="6"/>
  <c r="I7" i="6" s="1"/>
  <c r="H8" i="6"/>
  <c r="I8" i="6" s="1"/>
  <c r="H9" i="6"/>
  <c r="I9" i="6" s="1"/>
  <c r="H10" i="6"/>
  <c r="I10" i="6" s="1"/>
  <c r="H11" i="6"/>
  <c r="I11" i="6" s="1"/>
  <c r="G12" i="6"/>
  <c r="H12" i="6"/>
  <c r="I12" i="6" s="1"/>
  <c r="H13" i="6"/>
  <c r="I13" i="6" s="1"/>
  <c r="H14" i="6"/>
  <c r="I14" i="6" s="1"/>
  <c r="H15" i="6"/>
  <c r="I15" i="6" s="1"/>
  <c r="H16" i="6"/>
  <c r="I16" i="6" s="1"/>
  <c r="H24" i="6"/>
  <c r="I24" i="6" s="1"/>
  <c r="H25" i="6"/>
  <c r="I25" i="6" s="1"/>
  <c r="G13" i="6"/>
  <c r="G14" i="6"/>
  <c r="G15" i="6"/>
  <c r="G16" i="6"/>
  <c r="G17" i="6"/>
  <c r="H17" i="6" s="1"/>
  <c r="I17" i="6" s="1"/>
  <c r="G18" i="6"/>
  <c r="H18" i="6" s="1"/>
  <c r="I18" i="6" s="1"/>
  <c r="G19" i="6"/>
  <c r="H19" i="6" s="1"/>
  <c r="I19" i="6" s="1"/>
  <c r="G20" i="6"/>
  <c r="H20" i="6" s="1"/>
  <c r="I20" i="6" s="1"/>
  <c r="G21" i="6"/>
  <c r="H21" i="6" s="1"/>
  <c r="I21" i="6" s="1"/>
  <c r="G22" i="6"/>
  <c r="H22" i="6" s="1"/>
  <c r="I22" i="6" s="1"/>
  <c r="G23" i="6"/>
  <c r="H23" i="6" s="1"/>
  <c r="I23" i="6" s="1"/>
  <c r="G24" i="6"/>
  <c r="G25" i="6"/>
  <c r="G26" i="6"/>
  <c r="H26" i="6" s="1"/>
  <c r="I26" i="6" s="1"/>
  <c r="G27" i="6"/>
  <c r="H27" i="6" s="1"/>
  <c r="I27" i="6" s="1"/>
  <c r="G28" i="6"/>
  <c r="H28" i="6" s="1"/>
  <c r="I28" i="6" s="1"/>
  <c r="G29" i="6"/>
  <c r="H29" i="6" s="1"/>
  <c r="I29" i="6" s="1"/>
  <c r="G30" i="6"/>
  <c r="H30" i="6" s="1"/>
  <c r="I30" i="6" s="1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G6" i="4"/>
  <c r="G5" i="4"/>
  <c r="G4" i="4"/>
  <c r="G3" i="4"/>
  <c r="L6" i="3"/>
  <c r="L5" i="3"/>
  <c r="L4" i="3"/>
  <c r="L3" i="3"/>
  <c r="L2" i="3"/>
  <c r="B56" i="6" l="1"/>
  <c r="B55" i="6"/>
  <c r="B29" i="5"/>
  <c r="B28" i="5"/>
  <c r="E21" i="5"/>
  <c r="C21" i="5"/>
  <c r="E20" i="5"/>
  <c r="C20" i="5"/>
  <c r="E14" i="5"/>
  <c r="C14" i="5"/>
  <c r="E13" i="5"/>
  <c r="C13" i="5"/>
  <c r="E12" i="5"/>
  <c r="C12" i="5"/>
  <c r="D6" i="5"/>
  <c r="F6" i="5" s="1"/>
  <c r="D5" i="5"/>
  <c r="F5" i="5" s="1"/>
  <c r="D4" i="5"/>
  <c r="F4" i="5" s="1"/>
  <c r="B21" i="5"/>
  <c r="B14" i="5"/>
  <c r="B12" i="5"/>
  <c r="B58" i="6" l="1"/>
  <c r="B57" i="6"/>
  <c r="B13" i="5"/>
  <c r="D13" i="5" s="1"/>
  <c r="D14" i="5"/>
  <c r="D12" i="5"/>
  <c r="D21" i="5"/>
  <c r="B20" i="5"/>
  <c r="D20" i="5" s="1"/>
  <c r="B26" i="5"/>
  <c r="B27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tc={A67A6D7D-1A70-4A63-881D-B4037832D510}</author>
    <author>tc={2BE9DC94-B459-43B1-8811-DB2AD852626D}</author>
    <author>tc={D2D877EE-C2BE-4142-8C4F-AB707DB9C526}</author>
    <author>tc={D6D21D4D-EBA7-43D3-A61B-13E06E88DA4A}</author>
    <author>tc={7A65209B-17AB-4F55-AF91-F19D4DFC5EA2}</author>
    <author>tc={F1F6D9F2-2B4A-4E85-92EA-6E9449E82814}</author>
    <author>tc={60E74EBC-89A3-40DC-B064-FE5F66BFD99E}</author>
    <author>tc={D729691C-0A97-4CC1-B5A5-4754FCBAD963}</author>
  </authors>
  <commentList>
    <comment ref="K1" authorId="0" shapeId="0" xr:uid="{A67A6D7D-1A70-4A63-881D-B4037832D51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Preventative Maintenance
</t>
      </text>
    </comment>
    <comment ref="L1" authorId="1" shapeId="0" xr:uid="{2BE9DC94-B459-43B1-8811-DB2AD852626D}">
      <text>
        <t>[Threaded comment]
Your version of Excel allows you to read this threaded comment; however, any edits to it will get removed if the file is opened in a newer version of Excel. Learn more: https://go.microsoft.com/fwlink/?linkid=870924
Comment:
    Still Unassigned</t>
      </text>
    </comment>
    <comment ref="D7" authorId="2" shapeId="0" xr:uid="{D2D877EE-C2BE-4142-8C4F-AB707DB9C526}">
      <text>
        <t>[Threaded comment]
Your version of Excel allows you to read this threaded comment; however, any edits to it will get removed if the file is opened in a newer version of Excel. Learn more: https://go.microsoft.com/fwlink/?linkid=870924
Comment:
    DISCREPENCY IN GURBEJ’S LIST</t>
      </text>
    </comment>
    <comment ref="C8" authorId="3" shapeId="0" xr:uid="{D6D21D4D-EBA7-43D3-A61B-13E06E88DA4A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Needs confirmation</t>
      </text>
    </comment>
    <comment ref="D8" authorId="4" shapeId="0" xr:uid="{7A65209B-17AB-4F55-AF91-F19D4DFC5EA2}">
      <text>
        <t>[Threaded comment]
Your version of Excel allows you to read this threaded comment; however, any edits to it will get removed if the file is opened in a newer version of Excel. Learn more: https://go.microsoft.com/fwlink/?linkid=870924
Comment:
    Error on sticker, serial number placed on model number</t>
      </text>
    </comment>
    <comment ref="C11" authorId="5" shapeId="0" xr:uid="{F1F6D9F2-2B4A-4E85-92EA-6E9449E82814}">
      <text>
        <t>[Threaded comment]
Your version of Excel allows you to read this threaded comment; however, any edits to it will get removed if the file is opened in a newer version of Excel. Learn more: https://go.microsoft.com/fwlink/?linkid=870924
Comment:
    Written based (no sticker)</t>
      </text>
    </comment>
    <comment ref="A12" authorId="6" shapeId="0" xr:uid="{60E74EBC-89A3-40DC-B064-FE5F66BFD99E}">
      <text>
        <t>[Threaded comment]
Your version of Excel allows you to read this threaded comment; however, any edits to it will get removed if the file is opened in a newer version of Excel. Learn more: https://go.microsoft.com/fwlink/?linkid=870924
Comment:
    ECOM 10 MISSING</t>
      </text>
    </comment>
    <comment ref="C13" authorId="7" shapeId="0" xr:uid="{D729691C-0A97-4CC1-B5A5-4754FCBAD96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visibility on the machine.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tc={47C46BB6-EE12-4B3F-98DF-B8EB823822D0}</author>
  </authors>
  <commentList>
    <comment ref="A12" authorId="0" shapeId="0" xr:uid="{47C46BB6-EE12-4B3F-98DF-B8EB823822D0}">
      <text>
        <t>[Threaded comment]
Your version of Excel allows you to read this threaded comment; however, any edits to it will get removed if the file is opened in a newer version of Excel. Learn more: https://go.microsoft.com/fwlink/?linkid=870924
Comment:
    ECOM 10 MISSING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Omar Laz</author>
  </authors>
  <commentList>
    <comment ref="H1" authorId="0" shapeId="0" xr:uid="{91F607E5-FB7B-7946-BD4B-12EEC815F614}">
      <text>
        <r>
          <rPr>
            <b/>
            <sz val="10"/>
            <color rgb="FF000000"/>
            <rFont val="Tahoma"/>
            <family val="2"/>
          </rPr>
          <t>Omar Laz: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PM Compliance % =(Number of PMs completed on time </t>
        </r>
        <r>
          <rPr>
            <sz val="10"/>
            <color rgb="FF000000"/>
            <rFont val="Tahoma"/>
            <family val="2"/>
          </rPr>
          <t>÷</t>
        </r>
        <r>
          <rPr>
            <sz val="10"/>
            <color rgb="FF000000"/>
            <rFont val="Tahoma"/>
            <family val="2"/>
          </rPr>
          <t xml:space="preserve"> Number of PMs scheduled) </t>
        </r>
        <r>
          <rPr>
            <sz val="10"/>
            <color rgb="FF000000"/>
            <rFont val="Tahoma"/>
            <family val="2"/>
          </rPr>
          <t>×</t>
        </r>
        <r>
          <rPr>
            <sz val="10"/>
            <color rgb="FF000000"/>
            <rFont val="Tahoma"/>
            <family val="2"/>
          </rPr>
          <t xml:space="preserve"> 100
</t>
        </r>
      </text>
    </comment>
    <comment ref="I1" authorId="0" shapeId="0" xr:uid="{0A25B098-6916-1D43-BE15-090B60257770}">
      <text>
        <r>
          <rPr>
            <b/>
            <sz val="10"/>
            <color rgb="FF000000"/>
            <rFont val="Tahoma"/>
            <family val="2"/>
          </rPr>
          <t>Omar Laz: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Avg Cost per Asset =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Total Maintenance Cost </t>
        </r>
        <r>
          <rPr>
            <sz val="10"/>
            <color rgb="FF000000"/>
            <rFont val="Tahoma"/>
            <family val="2"/>
          </rPr>
          <t>÷</t>
        </r>
        <r>
          <rPr>
            <sz val="10"/>
            <color rgb="FF000000"/>
            <rFont val="Tahoma"/>
            <family val="2"/>
          </rPr>
          <t xml:space="preserve"> Total Number of Assets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tc={8B02AF06-D32B-47B5-BEFF-91D13259E915}</author>
    <author>tc={7AAA04CB-CE2E-4969-B714-43DF714754D9}</author>
    <author>Yara Salameh</author>
    <author>tc={66853E25-0DF2-43E5-ACC2-8A2CD7D8FCBB}</author>
    <author>tc={EAC515F7-D05C-4E14-A532-0E9F4B346B5E}</author>
    <author>tc={EEA2F079-9BC5-47F9-A0ED-19DC21EEB0E1}</author>
  </authors>
  <commentList>
    <comment ref="C8" authorId="0" shapeId="0" xr:uid="{8B02AF06-D32B-47B5-BEFF-91D13259E91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 equipment ID cannot be identified as the serial numbers are not FOUND 
</t>
      </text>
    </comment>
    <comment ref="C13" authorId="1" shapeId="0" xr:uid="{7AAA04CB-CE2E-4969-B714-43DF714754D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 equipment ID cannot be identified as the serial number is not FOUND 
</t>
      </text>
    </comment>
    <comment ref="F16" authorId="2" shapeId="0" xr:uid="{8F7BF95D-438E-4D1E-9406-B055B76DC3E9}">
      <text>
        <r>
          <rPr>
            <b/>
            <sz val="9"/>
            <color indexed="81"/>
            <rFont val="Tahoma"/>
            <charset val="1"/>
          </rPr>
          <t>Yara Salameh:</t>
        </r>
        <r>
          <rPr>
            <sz val="9"/>
            <color indexed="81"/>
            <rFont val="Tahoma"/>
            <charset val="1"/>
          </rPr>
          <t xml:space="preserve">
Why did we pay 5050.87???? In the invoice 1414 we were only billed 1494.
</t>
        </r>
      </text>
    </comment>
    <comment ref="C17" authorId="3" shapeId="0" xr:uid="{66853E25-0DF2-43E5-ACC2-8A2CD7D8FCB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Completely new purchase of equipment
</t>
      </text>
    </comment>
    <comment ref="F17" authorId="2" shapeId="0" xr:uid="{4D5B5ACB-9A96-46DA-9B22-4BBE0AD3DF07}">
      <text>
        <r>
          <rPr>
            <b/>
            <sz val="9"/>
            <color indexed="81"/>
            <rFont val="Tahoma"/>
            <charset val="1"/>
          </rPr>
          <t>Yara Salameh:</t>
        </r>
        <r>
          <rPr>
            <sz val="9"/>
            <color indexed="81"/>
            <rFont val="Tahoma"/>
            <charset val="1"/>
          </rPr>
          <t xml:space="preserve">
Why is it 50,172 when the invoice is billed 44,400???</t>
        </r>
      </text>
    </comment>
    <comment ref="C24" authorId="4" shapeId="0" xr:uid="{EAC515F7-D05C-4E14-A532-0E9F4B346B5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parts
</t>
      </text>
    </comment>
    <comment ref="C26" authorId="5" shapeId="0" xr:uid="{EEA2F079-9BC5-47F9-A0ED-19DC21EEB0E1}">
      <text>
        <t>[Threaded comment]
Your version of Excel allows you to read this threaded comment; however, any edits to it will get removed if the file is opened in a newer version of Excel. Learn more: https://go.microsoft.com/fwlink/?linkid=870924
Comment:
    Machine number not known!!</t>
      </text>
    </comment>
  </commentList>
</comments>
</file>

<file path=xl/sharedStrings.xml><?xml version="1.0" encoding="utf-8"?>
<sst xmlns="http://schemas.openxmlformats.org/spreadsheetml/2006/main" count="600" uniqueCount="275">
  <si>
    <t>WAREHOUSE EQUIPMENT MAINTENANCE TRACKER - USER GUIDE</t>
  </si>
  <si>
    <t>OVERVIEW</t>
  </si>
  <si>
    <t>This tracker provides complete visibility into your warehouse equipment maintenance:</t>
  </si>
  <si>
    <t>• Equipment Master: Complete list of all equipment with key details</t>
  </si>
  <si>
    <t>• Maintenance History: Log of all services performed with costs</t>
  </si>
  <si>
    <t>• PM Schedule: Upcoming preventive maintenance with alerts</t>
  </si>
  <si>
    <t>• Cost Analysis: Financial dashboard with key metrics</t>
  </si>
  <si>
    <t>• Invoice Verification: Audit tool to catch billing discrepancies</t>
  </si>
  <si>
    <t>HOW TO USE</t>
  </si>
  <si>
    <t>1. EQUIPMENT MASTER TAB</t>
  </si>
  <si>
    <t xml:space="preserve">   - Add new equipment as acquired</t>
  </si>
  <si>
    <t xml:space="preserve">   - Update "Hours/Cycles" regularly</t>
  </si>
  <si>
    <t xml:space="preserve">   - Track warranty expiration dates</t>
  </si>
  <si>
    <t xml:space="preserve">   - Monitor equipment location and assignments</t>
  </si>
  <si>
    <t>2. MAINTENANCE HISTORY TAB</t>
  </si>
  <si>
    <t xml:space="preserve">   - Log EVERY service performed (enter new rows at bottom)</t>
  </si>
  <si>
    <t xml:space="preserve">   - Include invoice numbers for reference</t>
  </si>
  <si>
    <t xml:space="preserve">   - Record actual downtime hours</t>
  </si>
  <si>
    <t xml:space="preserve">   - Document all parts replaced</t>
  </si>
  <si>
    <t xml:space="preserve">   - Use consistent Equipment IDs (RT-001, OP-001, FK-001, etc.)</t>
  </si>
  <si>
    <t>3. PM SCHEDULE TAB</t>
  </si>
  <si>
    <t xml:space="preserve">   - Check weekly for upcoming services</t>
  </si>
  <si>
    <t xml:space="preserve">   - Status auto-updates: OVERDUE (red), URGENT (&lt;7 days), UPCOMING (&lt;30 days)</t>
  </si>
  <si>
    <t xml:space="preserve">   - Update "Last Service Date" after maintenance completed</t>
  </si>
  <si>
    <t xml:space="preserve">   - Adjust service frequency if manufacturer recommends different intervals</t>
  </si>
  <si>
    <t>4. COST ANALYSIS TAB</t>
  </si>
  <si>
    <t xml:space="preserve">   - Auto-calculates from Maintenance History</t>
  </si>
  <si>
    <t xml:space="preserve">   - Compare service providers on cost and downtime</t>
  </si>
  <si>
    <t xml:space="preserve">   - Monitor preventive vs repair ratio (target &gt;3:1)</t>
  </si>
  <si>
    <t xml:space="preserve">   - Track total maintenance spend</t>
  </si>
  <si>
    <t>5. INVOICE VERIFICATION TAB</t>
  </si>
  <si>
    <t xml:space="preserve">   - Enter expected cost BEFORE service</t>
  </si>
  <si>
    <t xml:space="preserve">   - Enter actual billed amount when invoice received</t>
  </si>
  <si>
    <t xml:space="preserve">   - System flags variances &gt;10% for review</t>
  </si>
  <si>
    <t xml:space="preserve">   - Document any discrepancies in Notes column</t>
  </si>
  <si>
    <t xml:space="preserve">   - Use this to challenge questionable charges</t>
  </si>
  <si>
    <t>BEST PRACTICES</t>
  </si>
  <si>
    <t>• Log maintenance same day it occurs</t>
  </si>
  <si>
    <t>• Take photos of invoices and work orders</t>
  </si>
  <si>
    <t>• Review PM Schedule every Monday</t>
  </si>
  <si>
    <t>• Audit invoices before payment approval</t>
  </si>
  <si>
    <t>• Compare quotes from multiple providers annually</t>
  </si>
  <si>
    <t>• Track repeat issues to identify problem equipment</t>
  </si>
  <si>
    <t>RED FLAGS TO WATCH FOR</t>
  </si>
  <si>
    <t>✗ Same parts replaced multiple times on same equipment</t>
  </si>
  <si>
    <t>✗ Labor hours that seem excessive for routine service</t>
  </si>
  <si>
    <t>✗ Invoices without detailed work descriptions</t>
  </si>
  <si>
    <t>✗ Charges for parts not listed on work order</t>
  </si>
  <si>
    <t>✗ Preventive maintenance costs increasing significantly</t>
  </si>
  <si>
    <t>QUESTIONS &amp; SUPPORT</t>
  </si>
  <si>
    <t>Contact your maintenance provider for service questions.</t>
  </si>
  <si>
    <t>Review this tracker monthly with your operations team.</t>
  </si>
  <si>
    <t>Equipment ID</t>
  </si>
  <si>
    <t>Equipment Type</t>
  </si>
  <si>
    <t>Make/Model</t>
  </si>
  <si>
    <t>Serial Number</t>
  </si>
  <si>
    <t>Purchase Date</t>
  </si>
  <si>
    <t>Purchase Price</t>
  </si>
  <si>
    <t>Warranty Expiry</t>
  </si>
  <si>
    <t>Current Status</t>
  </si>
  <si>
    <t>Location/Zone</t>
  </si>
  <si>
    <t>Assigned Operator</t>
  </si>
  <si>
    <t>Hours/Cycles</t>
  </si>
  <si>
    <t>Last Service Date</t>
  </si>
  <si>
    <t>Next Service Due</t>
  </si>
  <si>
    <t>Reach Truck</t>
  </si>
  <si>
    <t>Order Picker</t>
  </si>
  <si>
    <t>Forklift</t>
  </si>
  <si>
    <t>Service Date</t>
  </si>
  <si>
    <t>Service Type</t>
  </si>
  <si>
    <t>Service Provider</t>
  </si>
  <si>
    <t>Work Performed</t>
  </si>
  <si>
    <t>Parts Replaced</t>
  </si>
  <si>
    <t>Labor Hours</t>
  </si>
  <si>
    <t>Parts Cost</t>
  </si>
  <si>
    <t>Labor Cost</t>
  </si>
  <si>
    <t>Total Cost</t>
  </si>
  <si>
    <t>Invoice Number</t>
  </si>
  <si>
    <t>Technician Name</t>
  </si>
  <si>
    <t>Downtime (Hours)</t>
  </si>
  <si>
    <t>ABC Maintenance Co.</t>
  </si>
  <si>
    <t>XYZ Equipment Services</t>
  </si>
  <si>
    <t>Service Frequency (Days)</t>
  </si>
  <si>
    <t>Days Until Due</t>
  </si>
  <si>
    <t>Status</t>
  </si>
  <si>
    <t>Estimated Cost</t>
  </si>
  <si>
    <t>Notes</t>
  </si>
  <si>
    <t>MONTHLY MAINTENANCE COST SUMMARY</t>
  </si>
  <si>
    <t>Month</t>
  </si>
  <si>
    <t>Preventive Cost</t>
  </si>
  <si>
    <t>Repair Cost</t>
  </si>
  <si>
    <t>Service Count</t>
  </si>
  <si>
    <t>Avg Cost per Service</t>
  </si>
  <si>
    <t>COST BY EQUIPMENT TYPE</t>
  </si>
  <si>
    <t>Total Maintenance Cost</t>
  </si>
  <si>
    <t>Total Downtime (Hrs)</t>
  </si>
  <si>
    <t>SERVICE PROVIDER COMPARISON</t>
  </si>
  <si>
    <t>Total Billed</t>
  </si>
  <si>
    <t>Avg per Service</t>
  </si>
  <si>
    <t>KEY METRICS</t>
  </si>
  <si>
    <t>Total YTD Maintenance Spend:</t>
  </si>
  <si>
    <t>Average Service Cost:</t>
  </si>
  <si>
    <t>Total Equipment Downtime (Hrs):</t>
  </si>
  <si>
    <t>Preventive vs Repair Ratio:</t>
  </si>
  <si>
    <t>(Higher is better)</t>
  </si>
  <si>
    <t>INVOICE VERIFICATION &amp; BILLING AUDIT</t>
  </si>
  <si>
    <t>Invoice Date</t>
  </si>
  <si>
    <t>Billed Amount</t>
  </si>
  <si>
    <t>Expected Amount</t>
  </si>
  <si>
    <t>Variance</t>
  </si>
  <si>
    <t>Variance %</t>
  </si>
  <si>
    <t>Notes/Discrepancies</t>
  </si>
  <si>
    <t>BILLING SUMMARY</t>
  </si>
  <si>
    <t>Total Billed Amount:</t>
  </si>
  <si>
    <t>Total Expected Amount:</t>
  </si>
  <si>
    <t>Total Variance:</t>
  </si>
  <si>
    <t>Invoices Flagged for Review:</t>
  </si>
  <si>
    <t>1st service Cycle</t>
  </si>
  <si>
    <t>2nd service Cycle</t>
  </si>
  <si>
    <t>3rd service Cycle</t>
  </si>
  <si>
    <t>4th service Cycle</t>
  </si>
  <si>
    <t>Overdue Assets,=COUNTIF('Upcoming Maintenance'!E:E,"Overdue"),0</t>
  </si>
  <si>
    <t>Issue Reported</t>
  </si>
  <si>
    <t>Approved by</t>
  </si>
  <si>
    <t xml:space="preserve">Approved by </t>
  </si>
  <si>
    <t>Service ID/Work Order #</t>
  </si>
  <si>
    <t>Assinged maintainance vendor</t>
  </si>
  <si>
    <t>PM details</t>
  </si>
  <si>
    <t>PM Cost</t>
  </si>
  <si>
    <t>Breakdown Cost</t>
  </si>
  <si>
    <t>Asset #</t>
  </si>
  <si>
    <t>Due Soon Assets,=COUNTIF('Upcoming Maintenance'!E:E,"Due Soon"),0</t>
  </si>
  <si>
    <t>PM Compliance %</t>
  </si>
  <si>
    <t>Avg Cost per Asset</t>
  </si>
  <si>
    <t>Top Cost Driver (Asset ID)</t>
  </si>
  <si>
    <t>Preventive vs Corrective Ratio,=COUNTIF('Maintenance Log'!D:D,"Preventive")/COUNTA('Maintenance Log'!D:D),100%</t>
  </si>
  <si>
    <t>B</t>
  </si>
  <si>
    <t>Formula / Comment</t>
  </si>
  <si>
    <t>Ecom Logistics – Maintenance Dashboard</t>
  </si>
  <si>
    <t>(Bold heading)</t>
  </si>
  <si>
    <t>Metric</t>
  </si>
  <si>
    <t>Value / Formula (paste into column B)</t>
  </si>
  <si>
    <t>Total Assets</t>
  </si>
  <si>
    <t>Total Maintenance Cost</t>
  </si>
  <si>
    <t>Preventive Maintenance Cost</t>
  </si>
  <si>
    <r>
      <t>=SUMIFS('Maintenance Log'!L:L,'Maintenance Log'!D:D,"PM / Breakdown")</t>
    </r>
    <r>
      <rPr>
        <sz val="11"/>
        <color rgb="FF000000"/>
        <rFont val="Calibri"/>
        <family val="2"/>
      </rPr>
      <t xml:space="preserve"> </t>
    </r>
    <r>
      <rPr>
        <i/>
        <sz val="11"/>
        <color rgb="FF000000"/>
        <rFont val="Calibri"/>
        <family val="2"/>
      </rPr>
      <t>(adjust wording if your “Maintenance Type” says “PM / Preventive”)</t>
    </r>
  </si>
  <si>
    <t>Breakdown Cost</t>
  </si>
  <si>
    <t>Overdue Assets</t>
  </si>
  <si>
    <t>Due Soon Assets</t>
  </si>
  <si>
    <t>PM Compliance %</t>
  </si>
  <si>
    <t>Avg Cost per Asset</t>
  </si>
  <si>
    <t>Preventive vs Corrective Ratio %</t>
  </si>
  <si>
    <t>(Blank row for spacing)</t>
  </si>
  <si>
    <t>Chart 1: Maintenance Cost by Month</t>
  </si>
  <si>
    <r>
      <t xml:space="preserve">→ create Pivot Table from </t>
    </r>
    <r>
      <rPr>
        <i/>
        <sz val="11"/>
        <color rgb="FF000000"/>
        <rFont val="Calibri"/>
        <family val="2"/>
      </rPr>
      <t>Maintenance Log</t>
    </r>
    <r>
      <rPr>
        <sz val="11"/>
        <color rgb="FF000000"/>
        <rFont val="Calibri"/>
        <family val="2"/>
      </rPr>
      <t xml:space="preserve"> (Rows = Date grouped by Month, Values = Cost), insert Line Chart</t>
    </r>
  </si>
  <si>
    <t>Chart 2: Preventive vs Breakdown Cost</t>
  </si>
  <si>
    <t>→ source same Pivot, Rows = Maintenance Type, Values = Cost, insert Pie Chart</t>
  </si>
  <si>
    <t>Chart 3: Cost by Equipment Type</t>
  </si>
  <si>
    <t>→ combine Maintenance Log + Asset Register via Asset ID; create Pivot Table (group by Equipment Type), insert Bar Chart</t>
  </si>
  <si>
    <t>6. COLOR CODE</t>
  </si>
  <si>
    <t xml:space="preserve">   - Enter data in white cells only </t>
  </si>
  <si>
    <t xml:space="preserve">   - Blue Cells are formulas - DO NOT ALTER</t>
  </si>
  <si>
    <t>Access Code</t>
  </si>
  <si>
    <t>520-15-04181</t>
  </si>
  <si>
    <t>ECOM 7</t>
  </si>
  <si>
    <t>520-OPC30TT</t>
  </si>
  <si>
    <t>ECOM 9</t>
  </si>
  <si>
    <t>840-06-70324</t>
  </si>
  <si>
    <t>ECOM 4</t>
  </si>
  <si>
    <t>540-12-B15231</t>
  </si>
  <si>
    <t>540-OPC30TT</t>
  </si>
  <si>
    <t>ECOM 3</t>
  </si>
  <si>
    <t>ECOM 5</t>
  </si>
  <si>
    <t>540-12-B15235</t>
  </si>
  <si>
    <t>ECOM 6</t>
  </si>
  <si>
    <t>VALID</t>
  </si>
  <si>
    <t>ECOM 8</t>
  </si>
  <si>
    <t>EZ-D.04.30478</t>
  </si>
  <si>
    <t>ECOM 1</t>
  </si>
  <si>
    <t>752-R45TT</t>
  </si>
  <si>
    <t>752-20-AD78747</t>
  </si>
  <si>
    <t>ECOM 2</t>
  </si>
  <si>
    <t>752-20-AD78713</t>
  </si>
  <si>
    <t>ECOM 11</t>
  </si>
  <si>
    <t>Order Picker Forklift</t>
  </si>
  <si>
    <t>Electric Pallet Truck</t>
  </si>
  <si>
    <t>High Capacity Order Picker</t>
  </si>
  <si>
    <t>Turret Truck</t>
  </si>
  <si>
    <t>8FBE2GU</t>
  </si>
  <si>
    <t>Electric Forklift Truck</t>
  </si>
  <si>
    <t>540-12-B15230</t>
  </si>
  <si>
    <t>xr40c v2.0</t>
  </si>
  <si>
    <t>Floor Scrubber</t>
  </si>
  <si>
    <t>09/06/2025</t>
  </si>
  <si>
    <t>Okay Lift LTD</t>
  </si>
  <si>
    <t>02/09/2025</t>
  </si>
  <si>
    <t>NA</t>
  </si>
  <si>
    <t>Transportation discounted and Trade-in lowered equipment sale</t>
  </si>
  <si>
    <t>09/09/2025</t>
  </si>
  <si>
    <t xml:space="preserve">ECOM 8 </t>
  </si>
  <si>
    <t>29/09/2025</t>
  </si>
  <si>
    <t>additional fee on replacement of drive tired and press on charges</t>
  </si>
  <si>
    <t>purchase of wheels with labor, potential damaged bearing, consumables</t>
  </si>
  <si>
    <t>purchase of wheels, bearings, consumables, drive wheel (major replacement), labor</t>
  </si>
  <si>
    <t>purchase of load and caster wheels + bearings, and replacement</t>
  </si>
  <si>
    <t>purchase of new equipment (including trade-in discount)</t>
  </si>
  <si>
    <t>16/10/2025</t>
  </si>
  <si>
    <t>transportation of 2 order pickers machines and counter balance</t>
  </si>
  <si>
    <t>23/10/2025</t>
  </si>
  <si>
    <t xml:space="preserve">purchase of load wheels + bearings + consumables </t>
  </si>
  <si>
    <t>preventative maintenance</t>
  </si>
  <si>
    <t>01/12/2025</t>
  </si>
  <si>
    <t>no mention of machine</t>
  </si>
  <si>
    <t>HORN mentioned again for same machine, only 3 months ago!!!!</t>
  </si>
  <si>
    <t>04/12/2025</t>
  </si>
  <si>
    <t>purchase of charger, replaced with the purchased circuit breaker only for it to immediately break</t>
  </si>
  <si>
    <t>27/12/2025</t>
  </si>
  <si>
    <t>purchase of battery with replacement and parts</t>
  </si>
  <si>
    <t>09/01/2026</t>
  </si>
  <si>
    <t>purchae of battery with replpacement</t>
  </si>
  <si>
    <t>purhase of parts</t>
  </si>
  <si>
    <t>EASI DR30TT</t>
  </si>
  <si>
    <t>ECOM 10</t>
  </si>
  <si>
    <t>840-06-66956</t>
  </si>
  <si>
    <t>840-FRE601</t>
  </si>
  <si>
    <t>Electric Walkie</t>
  </si>
  <si>
    <t>purchase of backrest for ECOM 6 + labor</t>
  </si>
  <si>
    <t>15/12/2025</t>
  </si>
  <si>
    <t>ALL</t>
  </si>
  <si>
    <t xml:space="preserve">ECOM 1 </t>
  </si>
  <si>
    <t>installation of camera</t>
  </si>
  <si>
    <t>17/02/2025</t>
  </si>
  <si>
    <t>1702/2025</t>
  </si>
  <si>
    <t>20/03/2025</t>
  </si>
  <si>
    <t>23/03/2025</t>
  </si>
  <si>
    <t>23/07/2025</t>
  </si>
  <si>
    <t>13/11/2025</t>
  </si>
  <si>
    <t>20/11/2025</t>
  </si>
  <si>
    <t>28/11/2025</t>
  </si>
  <si>
    <t>30/11/2025</t>
  </si>
  <si>
    <t>01/02/2026</t>
  </si>
  <si>
    <t>purchase of load wheels + bearings + consumables, plate, replacement of steer motor brushes, DIAGNOSIS OF HORN???</t>
  </si>
  <si>
    <t>PM Last Service Date</t>
  </si>
  <si>
    <t>PM Next Service Due</t>
  </si>
  <si>
    <t>25-02-2026</t>
  </si>
  <si>
    <t xml:space="preserve">Action plan </t>
  </si>
  <si>
    <t xml:space="preserve">Date </t>
  </si>
  <si>
    <t>stakeholders</t>
  </si>
  <si>
    <t>Yara Salameh ,  Omar Laz, Mohid Dard, Marisa Brunetta</t>
  </si>
  <si>
    <t>Companies for sticker visibility</t>
  </si>
  <si>
    <t>Brady Canada</t>
  </si>
  <si>
    <t>Signarama</t>
  </si>
  <si>
    <t>Responded</t>
  </si>
  <si>
    <r>
      <t>1-</t>
    </r>
    <r>
      <rPr>
        <sz val="11"/>
        <color rgb="FFFF0000"/>
        <rFont val="Calibri"/>
        <family val="2"/>
      </rPr>
      <t xml:space="preserve"> Plot into excel comparison of costs</t>
    </r>
    <r>
      <rPr>
        <sz val="11"/>
        <color theme="1"/>
        <rFont val="Calibri"/>
        <family val="2"/>
        <charset val="1"/>
      </rPr>
      <t xml:space="preserve">
2- Email Gurbhej regarding 'no sticker' equipment
3- Get cost of booklets for daily machinery checkup
4- Find out who is paying for machinery licenses           5. </t>
    </r>
    <r>
      <rPr>
        <sz val="11"/>
        <color rgb="FFFF0000"/>
        <rFont val="Calibri"/>
        <family val="2"/>
      </rPr>
      <t>Explore options for stickers visibility for machinery rather than using paint.</t>
    </r>
    <r>
      <rPr>
        <sz val="11"/>
        <color theme="1"/>
        <rFont val="Calibri"/>
        <family val="2"/>
        <charset val="1"/>
      </rPr>
      <t xml:space="preserve">                                                             6. Plates rather than stickers for ECOM numbers.</t>
    </r>
  </si>
  <si>
    <t>Diamond Line Painting</t>
  </si>
  <si>
    <t>GTAproepoxy</t>
  </si>
  <si>
    <t>pending</t>
  </si>
  <si>
    <t>26/02/2026</t>
  </si>
  <si>
    <t>26/05/2026</t>
  </si>
  <si>
    <t>visit 9:30 AM 05/03/26</t>
  </si>
  <si>
    <t>quarterly</t>
  </si>
  <si>
    <t>Oklift</t>
  </si>
  <si>
    <t>NOT NEEDED</t>
  </si>
  <si>
    <t>Licensed Operators</t>
  </si>
  <si>
    <t>Quarterly</t>
  </si>
  <si>
    <t>Annual Inspection Due</t>
  </si>
  <si>
    <t>26/02/2027</t>
  </si>
  <si>
    <t>26/08/2026</t>
  </si>
  <si>
    <t>26/11/2026</t>
  </si>
  <si>
    <t>Failed Annual Inspection (serviced)</t>
  </si>
  <si>
    <t>Failed Annual Inspection (serviced by warranty)</t>
  </si>
  <si>
    <t>Battery needed service (serviced)</t>
  </si>
  <si>
    <t>Needs #</t>
  </si>
  <si>
    <t>Bailer Compactor</t>
  </si>
  <si>
    <t>Counter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</si>
</sst>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0.0"/>
    <numFmt numFmtId="166" formatCode="0.0%"/>
  </numFmts>
  <fonts count="22">
    <font>
      <sz val="11"/>
      <color theme="1"/>
      <name val="Calibri"/>
      <family val="2"/>
      <charset val="1"/>
    </font>
    <font>
      <b/>
      <sz val="16"/>
      <color rgb="FF1F4E78"/>
      <name val="Cambria"/>
      <family val="1"/>
    </font>
    <font>
      <b/>
      <sz val="12"/>
      <color rgb="FF1F4E78"/>
      <name val="Cambria"/>
      <family val="1"/>
    </font>
    <font>
      <b/>
      <sz val="11"/>
      <color rgb="FFFFFFFF"/>
      <name val="Cambria"/>
      <family val="1"/>
    </font>
    <font>
      <sz val="11"/>
      <color rgb="FF008000"/>
      <name val="Cambria"/>
      <family val="1"/>
    </font>
    <font>
      <sz val="11"/>
      <color rgb="FFFF0000"/>
      <name val="Cambria"/>
      <family val="1"/>
    </font>
    <font>
      <b/>
      <sz val="14"/>
      <color rgb="FF1F4E78"/>
      <name val="Cambria"/>
      <family val="1"/>
    </font>
    <font>
      <b/>
      <sz val="11"/>
      <name val="Cambria"/>
      <family val="1"/>
    </font>
    <font>
      <b/>
      <sz val="12"/>
      <color rgb="FF008000"/>
      <name val="Cambria"/>
      <family val="1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0"/>
      <color rgb="FF000000"/>
      <name val="Arial Unicode MS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28"/>
      <color theme="1"/>
      <name val="Calibri"/>
      <family val="2"/>
      <charset val="1"/>
    </font>
    <font>
      <sz val="1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sz val="11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0" fontId="7" fillId="0" borderId="0" xfId="0" applyFont="1"/>
    <xf numFmtId="164" fontId="8" fillId="0" borderId="0" xfId="0" applyNumberFormat="1" applyFont="1"/>
    <xf numFmtId="165" fontId="8" fillId="0" borderId="0" xfId="0" applyNumberFormat="1" applyFont="1"/>
    <xf numFmtId="164" fontId="7" fillId="0" borderId="0" xfId="0" applyNumberFormat="1" applyFont="1"/>
    <xf numFmtId="0" fontId="3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164" fontId="0" fillId="3" borderId="1" xfId="0" applyNumberFormat="1" applyFill="1" applyBorder="1"/>
    <xf numFmtId="0" fontId="0" fillId="3" borderId="1" xfId="0" applyFill="1" applyBorder="1"/>
    <xf numFmtId="166" fontId="0" fillId="3" borderId="1" xfId="0" applyNumberFormat="1" applyFill="1" applyBorder="1"/>
    <xf numFmtId="164" fontId="0" fillId="3" borderId="1" xfId="0" applyNumberFormat="1" applyFill="1" applyBorder="1" applyAlignment="1">
      <alignment vertical="center"/>
    </xf>
    <xf numFmtId="16" fontId="0" fillId="0" borderId="1" xfId="0" applyNumberFormat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4" borderId="0" xfId="0" applyFill="1"/>
    <xf numFmtId="0" fontId="0" fillId="5" borderId="1" xfId="0" applyFill="1" applyBorder="1"/>
    <xf numFmtId="0" fontId="0" fillId="6" borderId="1" xfId="0" applyFill="1" applyBorder="1" applyAlignment="1">
      <alignment vertical="center"/>
    </xf>
    <xf numFmtId="0" fontId="0" fillId="6" borderId="1" xfId="0" applyFill="1" applyBorder="1"/>
    <xf numFmtId="0" fontId="0" fillId="7" borderId="1" xfId="0" applyFill="1" applyBorder="1"/>
    <xf numFmtId="0" fontId="0" fillId="4" borderId="1" xfId="0" applyFill="1" applyBorder="1"/>
    <xf numFmtId="164" fontId="0" fillId="4" borderId="1" xfId="0" applyNumberFormat="1" applyFill="1" applyBorder="1"/>
    <xf numFmtId="166" fontId="0" fillId="4" borderId="1" xfId="0" applyNumberFormat="1" applyFill="1" applyBorder="1"/>
    <xf numFmtId="164" fontId="0" fillId="6" borderId="1" xfId="0" applyNumberFormat="1" applyFill="1" applyBorder="1"/>
    <xf numFmtId="0" fontId="0" fillId="7" borderId="5" xfId="0" applyFill="1" applyBorder="1"/>
    <xf numFmtId="0" fontId="0" fillId="0" borderId="4" xfId="0" applyBorder="1"/>
    <xf numFmtId="0" fontId="0" fillId="4" borderId="3" xfId="0" applyFill="1" applyBorder="1"/>
    <xf numFmtId="166" fontId="0" fillId="4" borderId="5" xfId="0" applyNumberFormat="1" applyFill="1" applyBorder="1"/>
    <xf numFmtId="0" fontId="0" fillId="4" borderId="4" xfId="0" applyFill="1" applyBorder="1"/>
    <xf numFmtId="164" fontId="17" fillId="4" borderId="0" xfId="0" applyNumberFormat="1" applyFont="1" applyFill="1"/>
    <xf numFmtId="166" fontId="0" fillId="3" borderId="1" xfId="0" applyNumberFormat="1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18" fillId="4" borderId="1" xfId="0" applyFont="1" applyFill="1" applyBorder="1"/>
    <xf numFmtId="0" fontId="20" fillId="0" borderId="0" xfId="0" applyFont="1"/>
    <xf numFmtId="0" fontId="1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19" fillId="0" borderId="1" xfId="0" applyFont="1" applyBorder="1"/>
    <xf numFmtId="0" fontId="19" fillId="0" borderId="0" xfId="0" applyFont="1"/>
    <xf numFmtId="14" fontId="0" fillId="0" borderId="1" xfId="0" applyNumberFormat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8" borderId="1" xfId="0" applyFill="1" applyBorder="1"/>
    <xf numFmtId="0" fontId="0" fillId="6" borderId="0" xfId="0" applyFill="1"/>
    <xf numFmtId="14" fontId="0" fillId="0" borderId="1" xfId="0" applyNumberFormat="1" applyBorder="1"/>
    <xf numFmtId="14" fontId="0" fillId="6" borderId="1" xfId="0" applyNumberFormat="1" applyFill="1" applyBorder="1" applyAlignment="1">
      <alignment vertical="center"/>
    </xf>
    <xf numFmtId="0" fontId="1" fillId="0" borderId="0" xfId="0" applyFont="1"/>
    <xf numFmtId="0" fontId="6" fillId="0" borderId="0" xfId="0" applyFont="1"/>
    <xf numFmtId="164" fontId="0" fillId="3" borderId="3" xfId="0" applyNumberFormat="1" applyFill="1" applyBorder="1" applyAlignment="1">
      <alignment horizontal="center" vertical="center"/>
    </xf>
    <xf numFmtId="164" fontId="0" fillId="3" borderId="2" xfId="0" applyNumberFormat="1" applyFill="1" applyBorder="1" applyAlignment="1">
      <alignment horizontal="center" vertical="center"/>
    </xf>
    <xf numFmtId="164" fontId="0" fillId="3" borderId="4" xfId="0" applyNumberFormat="1" applyFill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CC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Yara Salameh" id="{912E2C11-E075-4A49-84E4-CD3793CD4E85}" userId="S::yara@ecomlogistics.ca::39783f29-1f96-4429-88d9-0faeb665a66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1" dT="2026-02-09T16:03:53.20" personId="{912E2C11-E075-4A49-84E4-CD3793CD4E85}" id="{A67A6D7D-1A70-4A63-881D-B4037832D510}">
    <text xml:space="preserve">Preventative Maintenance
</text>
  </threadedComment>
  <threadedComment ref="L1" dT="2026-02-09T17:07:27.16" personId="{912E2C11-E075-4A49-84E4-CD3793CD4E85}" id="{2BE9DC94-B459-43B1-8811-DB2AD852626D}">
    <text>Still Unassigned</text>
  </threadedComment>
  <threadedComment ref="D7" dT="2026-02-18T19:43:13.92" personId="{912E2C11-E075-4A49-84E4-CD3793CD4E85}" id="{D2D877EE-C2BE-4142-8C4F-AB707DB9C526}" done="1">
    <text>DISCREPENCY IN GURBEJ’S LIST</text>
  </threadedComment>
  <threadedComment ref="C8" dT="2026-02-12T15:00:02.72" personId="{912E2C11-E075-4A49-84E4-CD3793CD4E85}" id="{D6D21D4D-EBA7-43D3-A61B-13E06E88DA4A}" done="1">
    <text>Needs confirmation</text>
  </threadedComment>
  <threadedComment ref="D8" dT="2026-02-09T18:33:07.52" personId="{912E2C11-E075-4A49-84E4-CD3793CD4E85}" id="{7A65209B-17AB-4F55-AF91-F19D4DFC5EA2}" done="1">
    <text>Error on sticker, serial number placed on model number</text>
  </threadedComment>
  <threadedComment ref="C11" dT="2026-02-09T18:33:43.59" personId="{912E2C11-E075-4A49-84E4-CD3793CD4E85}" id="{F1F6D9F2-2B4A-4E85-92EA-6E9449E82814}" done="1">
    <text>Written based (no sticker)</text>
  </threadedComment>
  <threadedComment ref="A12" dT="2026-02-09T17:37:19.20" personId="{912E2C11-E075-4A49-84E4-CD3793CD4E85}" id="{60E74EBC-89A3-40DC-B064-FE5F66BFD99E}" done="1">
    <text>ECOM 10 MISSING</text>
  </threadedComment>
  <threadedComment ref="C13" dT="2026-03-20T18:49:27.39" personId="{912E2C11-E075-4A49-84E4-CD3793CD4E85}" id="{D729691C-0A97-4CC1-B5A5-4754FCBAD963}">
    <text>No visibility on the machine.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2" dT="2026-02-09T17:37:19.20" personId="{912E2C11-E075-4A49-84E4-CD3793CD4E85}" id="{47C46BB6-EE12-4B3F-98DF-B8EB823822D0}" done="1">
    <text>ECOM 10 MISSING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8" dT="2026-02-09T19:16:07.42" personId="{912E2C11-E075-4A49-84E4-CD3793CD4E85}" id="{8B02AF06-D32B-47B5-BEFF-91D13259E915}">
    <text xml:space="preserve">2 equipment ID cannot be identified as the serial numbers are not FOUND 
</text>
  </threadedComment>
  <threadedComment ref="C13" dT="2026-02-09T19:29:22.32" personId="{912E2C11-E075-4A49-84E4-CD3793CD4E85}" id="{7AAA04CB-CE2E-4969-B714-43DF714754D9}">
    <text xml:space="preserve"> equipment ID cannot be identified as the serial number is not FOUND 
</text>
  </threadedComment>
  <threadedComment ref="C17" dT="2026-02-09T19:53:24.60" personId="{912E2C11-E075-4A49-84E4-CD3793CD4E85}" id="{66853E25-0DF2-43E5-ACC2-8A2CD7D8FCBB}">
    <text xml:space="preserve">Completely new purchase of equipment
</text>
  </threadedComment>
  <threadedComment ref="C24" dT="2026-02-09T20:13:11.08" personId="{912E2C11-E075-4A49-84E4-CD3793CD4E85}" id="{EAC515F7-D05C-4E14-A532-0E9F4B346B5E}">
    <text xml:space="preserve">ONLY parts
</text>
  </threadedComment>
  <threadedComment ref="C26" dT="2026-02-09T20:19:36.66" personId="{912E2C11-E075-4A49-84E4-CD3793CD4E85}" id="{EEA2F079-9BC5-47F9-A0ED-19DC21EEB0E1}">
    <text>Machine number not known!!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6"/>
  <sheetViews>
    <sheetView zoomScale="85" zoomScaleNormal="85" workbookViewId="0">
      <selection activeCell="A29" sqref="A29"/>
    </sheetView>
  </sheetViews>
  <sheetFormatPr defaultColWidth="8.6640625" defaultRowHeight="14.4"/>
  <cols>
    <col min="1" max="1" width="80" customWidth="1"/>
    <col min="2" max="3" width="20" customWidth="1"/>
  </cols>
  <sheetData>
    <row r="1" spans="1:3" ht="18" customHeight="1">
      <c r="A1" s="56" t="s">
        <v>0</v>
      </c>
      <c r="B1" s="56"/>
      <c r="C1" s="56"/>
    </row>
    <row r="2" spans="1:3" ht="18" customHeight="1"/>
    <row r="3" spans="1:3" ht="18" customHeight="1">
      <c r="A3" s="1" t="s">
        <v>1</v>
      </c>
    </row>
    <row r="4" spans="1:3" ht="18" customHeight="1">
      <c r="A4" t="s">
        <v>2</v>
      </c>
    </row>
    <row r="5" spans="1:3" ht="18" customHeight="1">
      <c r="A5" t="s">
        <v>3</v>
      </c>
    </row>
    <row r="6" spans="1:3" ht="18" customHeight="1">
      <c r="A6" t="s">
        <v>4</v>
      </c>
    </row>
    <row r="7" spans="1:3" ht="18" customHeight="1">
      <c r="A7" t="s">
        <v>5</v>
      </c>
    </row>
    <row r="8" spans="1:3" ht="18" customHeight="1">
      <c r="A8" t="s">
        <v>6</v>
      </c>
    </row>
    <row r="9" spans="1:3" ht="18" customHeight="1">
      <c r="A9" t="s">
        <v>7</v>
      </c>
    </row>
    <row r="10" spans="1:3" ht="18" customHeight="1"/>
    <row r="11" spans="1:3" ht="18" customHeight="1">
      <c r="A11" t="s">
        <v>8</v>
      </c>
    </row>
    <row r="12" spans="1:3" ht="18" customHeight="1">
      <c r="A12" s="1"/>
    </row>
    <row r="13" spans="1:3" ht="18" customHeight="1">
      <c r="A13" t="s">
        <v>9</v>
      </c>
    </row>
    <row r="14" spans="1:3" ht="18" customHeight="1">
      <c r="A14" s="1" t="s">
        <v>10</v>
      </c>
    </row>
    <row r="15" spans="1:3" ht="18" customHeight="1">
      <c r="A15" t="s">
        <v>11</v>
      </c>
    </row>
    <row r="16" spans="1:3" ht="18" customHeight="1">
      <c r="A16" t="s">
        <v>12</v>
      </c>
    </row>
    <row r="17" spans="1:1" ht="18" customHeight="1">
      <c r="A17" t="s">
        <v>13</v>
      </c>
    </row>
    <row r="18" spans="1:1" ht="18" customHeight="1"/>
    <row r="19" spans="1:1" ht="18" customHeight="1">
      <c r="A19" t="s">
        <v>14</v>
      </c>
    </row>
    <row r="20" spans="1:1" ht="18" customHeight="1">
      <c r="A20" s="1" t="s">
        <v>15</v>
      </c>
    </row>
    <row r="21" spans="1:1" ht="18" customHeight="1">
      <c r="A21" t="s">
        <v>16</v>
      </c>
    </row>
    <row r="22" spans="1:1" ht="18" customHeight="1">
      <c r="A22" t="s">
        <v>17</v>
      </c>
    </row>
    <row r="23" spans="1:1" ht="18" customHeight="1">
      <c r="A23" t="s">
        <v>18</v>
      </c>
    </row>
    <row r="24" spans="1:1" ht="18" customHeight="1">
      <c r="A24" t="s">
        <v>19</v>
      </c>
    </row>
    <row r="25" spans="1:1" ht="18" customHeight="1"/>
    <row r="26" spans="1:1" ht="18" customHeight="1">
      <c r="A26" t="s">
        <v>20</v>
      </c>
    </row>
    <row r="27" spans="1:1" ht="18" customHeight="1">
      <c r="A27" t="s">
        <v>21</v>
      </c>
    </row>
    <row r="28" spans="1:1" ht="18" customHeight="1">
      <c r="A28" t="s">
        <v>22</v>
      </c>
    </row>
    <row r="29" spans="1:1" ht="18" customHeight="1">
      <c r="A29" t="s">
        <v>23</v>
      </c>
    </row>
    <row r="30" spans="1:1" ht="18" customHeight="1">
      <c r="A30" t="s">
        <v>24</v>
      </c>
    </row>
    <row r="31" spans="1:1" ht="18" customHeight="1"/>
    <row r="32" spans="1:1" ht="18" customHeight="1">
      <c r="A32" t="s">
        <v>25</v>
      </c>
    </row>
    <row r="33" spans="1:1" ht="18" customHeight="1">
      <c r="A33" s="1" t="s">
        <v>26</v>
      </c>
    </row>
    <row r="34" spans="1:1" ht="18" customHeight="1">
      <c r="A34" t="s">
        <v>27</v>
      </c>
    </row>
    <row r="35" spans="1:1" ht="18" customHeight="1">
      <c r="A35" t="s">
        <v>28</v>
      </c>
    </row>
    <row r="36" spans="1:1" ht="18" customHeight="1">
      <c r="A36" t="s">
        <v>29</v>
      </c>
    </row>
    <row r="37" spans="1:1" ht="18" customHeight="1"/>
    <row r="38" spans="1:1" ht="18" customHeight="1">
      <c r="A38" t="s">
        <v>30</v>
      </c>
    </row>
    <row r="39" spans="1:1" ht="18" customHeight="1">
      <c r="A39" t="s">
        <v>31</v>
      </c>
    </row>
    <row r="40" spans="1:1" ht="18" customHeight="1">
      <c r="A40" t="s">
        <v>32</v>
      </c>
    </row>
    <row r="41" spans="1:1" ht="18" customHeight="1">
      <c r="A41" s="1" t="s">
        <v>33</v>
      </c>
    </row>
    <row r="42" spans="1:1" ht="18" customHeight="1">
      <c r="A42" t="s">
        <v>34</v>
      </c>
    </row>
    <row r="43" spans="1:1" ht="18" customHeight="1">
      <c r="A43" t="s">
        <v>35</v>
      </c>
    </row>
    <row r="44" spans="1:1" ht="18" customHeight="1"/>
    <row r="45" spans="1:1" ht="18" customHeight="1">
      <c r="A45" t="s">
        <v>159</v>
      </c>
    </row>
    <row r="46" spans="1:1" ht="18" customHeight="1">
      <c r="A46" t="s">
        <v>160</v>
      </c>
    </row>
    <row r="47" spans="1:1" ht="18" customHeight="1">
      <c r="A47" t="s">
        <v>161</v>
      </c>
    </row>
    <row r="48" spans="1:1" ht="18" customHeight="1"/>
    <row r="49" spans="1:1" ht="18" customHeight="1">
      <c r="A49" t="s">
        <v>36</v>
      </c>
    </row>
    <row r="50" spans="1:1" ht="18" customHeight="1">
      <c r="A50" t="s">
        <v>37</v>
      </c>
    </row>
    <row r="51" spans="1:1" ht="18" customHeight="1">
      <c r="A51" t="s">
        <v>38</v>
      </c>
    </row>
    <row r="52" spans="1:1" ht="18" customHeight="1">
      <c r="A52" t="s">
        <v>39</v>
      </c>
    </row>
    <row r="53" spans="1:1" ht="18" customHeight="1">
      <c r="A53" s="1" t="s">
        <v>40</v>
      </c>
    </row>
    <row r="54" spans="1:1" ht="18" customHeight="1">
      <c r="A54" t="s">
        <v>41</v>
      </c>
    </row>
    <row r="55" spans="1:1" ht="18" customHeight="1">
      <c r="A55" t="s">
        <v>42</v>
      </c>
    </row>
    <row r="56" spans="1:1" ht="18" customHeight="1"/>
    <row r="57" spans="1:1" ht="18" customHeight="1">
      <c r="A57" t="s">
        <v>43</v>
      </c>
    </row>
    <row r="58" spans="1:1" ht="18" customHeight="1">
      <c r="A58" t="s">
        <v>44</v>
      </c>
    </row>
    <row r="59" spans="1:1" ht="18" customHeight="1">
      <c r="A59" t="s">
        <v>45</v>
      </c>
    </row>
    <row r="60" spans="1:1" ht="18" customHeight="1">
      <c r="A60" t="s">
        <v>46</v>
      </c>
    </row>
    <row r="61" spans="1:1" ht="18" customHeight="1">
      <c r="A61" t="s">
        <v>47</v>
      </c>
    </row>
    <row r="62" spans="1:1" ht="18" customHeight="1">
      <c r="A62" t="s">
        <v>48</v>
      </c>
    </row>
    <row r="63" spans="1:1" ht="18" customHeight="1"/>
    <row r="64" spans="1:1" ht="18" customHeight="1">
      <c r="A64" t="s">
        <v>49</v>
      </c>
    </row>
    <row r="65" spans="1:1" ht="18" customHeight="1">
      <c r="A65" t="s">
        <v>50</v>
      </c>
    </row>
    <row r="66" spans="1:1" ht="18" customHeight="1">
      <c r="A66" t="s">
        <v>51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2"/>
  <sheetViews>
    <sheetView zoomScale="106" zoomScaleNormal="100" workbookViewId="0">
      <selection sqref="A1:H13"/>
    </sheetView>
  </sheetViews>
  <sheetFormatPr defaultColWidth="8.6640625" defaultRowHeight="14.4"/>
  <cols>
    <col min="1" max="1" width="15" customWidth="1"/>
    <col min="2" max="2" width="23.21875" customWidth="1"/>
    <col min="3" max="3" width="13.88671875" customWidth="1"/>
    <col min="4" max="4" width="15.109375" customWidth="1"/>
    <col min="5" max="6" width="14" customWidth="1"/>
    <col min="7" max="7" width="16.44140625" customWidth="1"/>
    <col min="8" max="8" width="14.109375" customWidth="1"/>
    <col min="9" max="9" width="17.6640625" customWidth="1"/>
    <col min="10" max="10" width="33.21875" customWidth="1"/>
    <col min="11" max="11" width="17.5546875" customWidth="1"/>
    <col min="12" max="12" width="19.77734375" customWidth="1"/>
    <col min="13" max="13" width="17.88671875" customWidth="1"/>
    <col min="14" max="14" width="13.33203125" customWidth="1"/>
    <col min="15" max="16" width="19.77734375" customWidth="1"/>
  </cols>
  <sheetData>
    <row r="1" spans="1:16" ht="27.6">
      <c r="A1" s="2" t="s">
        <v>52</v>
      </c>
      <c r="B1" s="2" t="s">
        <v>53</v>
      </c>
      <c r="C1" s="2" t="s">
        <v>54</v>
      </c>
      <c r="D1" s="2" t="s">
        <v>55</v>
      </c>
      <c r="E1" s="2" t="s">
        <v>56</v>
      </c>
      <c r="F1" s="2" t="s">
        <v>57</v>
      </c>
      <c r="G1" s="2" t="s">
        <v>58</v>
      </c>
      <c r="H1" s="2" t="s">
        <v>59</v>
      </c>
      <c r="I1" s="2" t="s">
        <v>60</v>
      </c>
      <c r="J1" s="2" t="s">
        <v>126</v>
      </c>
      <c r="K1" s="2" t="s">
        <v>127</v>
      </c>
      <c r="L1" s="2" t="s">
        <v>61</v>
      </c>
      <c r="M1" s="2" t="s">
        <v>162</v>
      </c>
      <c r="N1" s="2" t="s">
        <v>62</v>
      </c>
      <c r="O1" s="2" t="s">
        <v>242</v>
      </c>
      <c r="P1" s="2" t="s">
        <v>243</v>
      </c>
    </row>
    <row r="2" spans="1:16">
      <c r="A2" s="3" t="s">
        <v>164</v>
      </c>
      <c r="B2" s="3" t="s">
        <v>184</v>
      </c>
      <c r="C2" s="3" t="s">
        <v>165</v>
      </c>
      <c r="D2" s="3" t="s">
        <v>163</v>
      </c>
      <c r="E2" s="3"/>
      <c r="F2" s="3"/>
      <c r="G2" s="3"/>
      <c r="H2" s="27" t="s">
        <v>175</v>
      </c>
      <c r="I2" s="3"/>
      <c r="J2" s="3" t="s">
        <v>261</v>
      </c>
      <c r="K2" s="3" t="s">
        <v>260</v>
      </c>
      <c r="L2" s="3" t="s">
        <v>263</v>
      </c>
      <c r="M2" s="3" t="s">
        <v>262</v>
      </c>
      <c r="N2" s="3"/>
      <c r="O2" s="3" t="s">
        <v>257</v>
      </c>
      <c r="P2" s="3" t="s">
        <v>258</v>
      </c>
    </row>
    <row r="3" spans="1:16">
      <c r="A3" s="3" t="s">
        <v>166</v>
      </c>
      <c r="B3" s="3" t="s">
        <v>185</v>
      </c>
      <c r="C3" s="3">
        <v>8400</v>
      </c>
      <c r="D3" s="3" t="s">
        <v>167</v>
      </c>
      <c r="E3" s="3"/>
      <c r="F3" s="3"/>
      <c r="G3" s="3"/>
      <c r="H3" s="27" t="s">
        <v>175</v>
      </c>
      <c r="I3" s="3"/>
      <c r="J3" s="3" t="s">
        <v>261</v>
      </c>
      <c r="K3" s="3" t="s">
        <v>260</v>
      </c>
      <c r="L3" s="3" t="s">
        <v>263</v>
      </c>
      <c r="M3" s="3" t="s">
        <v>262</v>
      </c>
      <c r="N3" s="3"/>
      <c r="O3" s="3" t="s">
        <v>257</v>
      </c>
      <c r="P3" s="3" t="s">
        <v>258</v>
      </c>
    </row>
    <row r="4" spans="1:16">
      <c r="A4" s="3" t="s">
        <v>168</v>
      </c>
      <c r="B4" s="3" t="s">
        <v>186</v>
      </c>
      <c r="C4" s="3" t="s">
        <v>170</v>
      </c>
      <c r="D4" s="3" t="s">
        <v>169</v>
      </c>
      <c r="E4" s="50">
        <v>45912</v>
      </c>
      <c r="F4" s="3">
        <v>14500</v>
      </c>
      <c r="G4" s="3"/>
      <c r="H4" s="27" t="s">
        <v>175</v>
      </c>
      <c r="I4" s="3"/>
      <c r="J4" s="3" t="s">
        <v>261</v>
      </c>
      <c r="K4" s="3" t="s">
        <v>260</v>
      </c>
      <c r="L4" s="3" t="s">
        <v>263</v>
      </c>
      <c r="M4" s="3" t="s">
        <v>262</v>
      </c>
      <c r="N4" s="3"/>
      <c r="O4" s="3" t="s">
        <v>257</v>
      </c>
      <c r="P4" s="3" t="s">
        <v>258</v>
      </c>
    </row>
    <row r="5" spans="1:16">
      <c r="A5" s="3" t="s">
        <v>171</v>
      </c>
      <c r="B5" s="3" t="s">
        <v>186</v>
      </c>
      <c r="C5" s="28" t="s">
        <v>170</v>
      </c>
      <c r="D5" s="28" t="s">
        <v>190</v>
      </c>
      <c r="E5" s="3"/>
      <c r="F5" s="3"/>
      <c r="G5" s="3"/>
      <c r="H5" s="27" t="s">
        <v>175</v>
      </c>
      <c r="I5" s="3"/>
      <c r="J5" s="3" t="s">
        <v>261</v>
      </c>
      <c r="K5" s="3" t="s">
        <v>260</v>
      </c>
      <c r="L5" s="3" t="s">
        <v>263</v>
      </c>
      <c r="M5" s="3" t="s">
        <v>262</v>
      </c>
      <c r="N5" s="3"/>
      <c r="O5" s="3" t="s">
        <v>257</v>
      </c>
      <c r="P5" s="3" t="s">
        <v>258</v>
      </c>
    </row>
    <row r="6" spans="1:16">
      <c r="A6" s="28" t="s">
        <v>172</v>
      </c>
      <c r="B6" s="3" t="s">
        <v>186</v>
      </c>
      <c r="C6" s="28" t="s">
        <v>170</v>
      </c>
      <c r="D6" s="28" t="s">
        <v>173</v>
      </c>
      <c r="E6" s="55">
        <v>45912</v>
      </c>
      <c r="F6" s="28">
        <v>14500</v>
      </c>
      <c r="G6" s="28"/>
      <c r="H6" s="27" t="s">
        <v>175</v>
      </c>
      <c r="I6" s="3"/>
      <c r="J6" s="3" t="s">
        <v>261</v>
      </c>
      <c r="K6" s="3" t="s">
        <v>260</v>
      </c>
      <c r="L6" s="3" t="s">
        <v>263</v>
      </c>
      <c r="M6" s="3" t="s">
        <v>262</v>
      </c>
      <c r="N6" s="3"/>
      <c r="O6" s="3" t="s">
        <v>257</v>
      </c>
      <c r="P6" s="3" t="s">
        <v>258</v>
      </c>
    </row>
    <row r="7" spans="1:16">
      <c r="A7" s="29" t="s">
        <v>174</v>
      </c>
      <c r="B7" s="29" t="s">
        <v>274</v>
      </c>
      <c r="C7" s="29" t="s">
        <v>188</v>
      </c>
      <c r="D7" s="29">
        <v>14455</v>
      </c>
      <c r="E7" s="54">
        <v>45912</v>
      </c>
      <c r="F7" s="8">
        <v>25900</v>
      </c>
      <c r="G7" s="8"/>
      <c r="H7" s="27" t="s">
        <v>175</v>
      </c>
      <c r="I7" s="8"/>
      <c r="J7" s="3" t="s">
        <v>261</v>
      </c>
      <c r="K7" s="3" t="s">
        <v>260</v>
      </c>
      <c r="L7" s="3" t="s">
        <v>263</v>
      </c>
      <c r="M7" s="3" t="s">
        <v>262</v>
      </c>
      <c r="N7" s="8"/>
      <c r="O7" s="3" t="s">
        <v>257</v>
      </c>
      <c r="P7" s="3" t="s">
        <v>258</v>
      </c>
    </row>
    <row r="8" spans="1:16">
      <c r="A8" s="8" t="s">
        <v>176</v>
      </c>
      <c r="B8" s="8" t="s">
        <v>187</v>
      </c>
      <c r="C8" s="53" t="s">
        <v>221</v>
      </c>
      <c r="D8" s="29" t="s">
        <v>177</v>
      </c>
      <c r="E8" s="8"/>
      <c r="F8" s="8"/>
      <c r="G8" s="8"/>
      <c r="H8" s="27" t="s">
        <v>175</v>
      </c>
      <c r="I8" s="8"/>
      <c r="J8" s="3" t="s">
        <v>261</v>
      </c>
      <c r="K8" s="3" t="s">
        <v>260</v>
      </c>
      <c r="L8" s="3" t="s">
        <v>263</v>
      </c>
      <c r="M8" s="3" t="s">
        <v>262</v>
      </c>
      <c r="N8" s="8"/>
      <c r="O8" s="3" t="s">
        <v>257</v>
      </c>
      <c r="P8" s="3" t="s">
        <v>258</v>
      </c>
    </row>
    <row r="9" spans="1:16">
      <c r="A9" s="8" t="s">
        <v>178</v>
      </c>
      <c r="B9" s="8" t="s">
        <v>187</v>
      </c>
      <c r="C9" s="8" t="s">
        <v>179</v>
      </c>
      <c r="D9" s="8" t="s">
        <v>180</v>
      </c>
      <c r="E9" s="54">
        <v>45812</v>
      </c>
      <c r="F9" s="8">
        <v>35450</v>
      </c>
      <c r="G9" s="8"/>
      <c r="H9" s="27" t="s">
        <v>175</v>
      </c>
      <c r="I9" s="8"/>
      <c r="J9" s="3" t="s">
        <v>261</v>
      </c>
      <c r="K9" s="3" t="s">
        <v>260</v>
      </c>
      <c r="L9" s="3" t="s">
        <v>263</v>
      </c>
      <c r="M9" s="3" t="s">
        <v>262</v>
      </c>
      <c r="N9" s="8"/>
      <c r="O9" s="3" t="s">
        <v>257</v>
      </c>
      <c r="P9" s="3" t="s">
        <v>258</v>
      </c>
    </row>
    <row r="10" spans="1:16">
      <c r="A10" s="8" t="s">
        <v>181</v>
      </c>
      <c r="B10" s="8" t="s">
        <v>187</v>
      </c>
      <c r="C10" s="8" t="s">
        <v>179</v>
      </c>
      <c r="D10" s="8" t="s">
        <v>182</v>
      </c>
      <c r="E10" s="54">
        <v>45812</v>
      </c>
      <c r="F10" s="8">
        <v>35450</v>
      </c>
      <c r="G10" s="8"/>
      <c r="H10" s="27" t="s">
        <v>175</v>
      </c>
      <c r="I10" s="8"/>
      <c r="J10" s="3" t="s">
        <v>261</v>
      </c>
      <c r="K10" s="3" t="s">
        <v>260</v>
      </c>
      <c r="L10" s="3" t="s">
        <v>263</v>
      </c>
      <c r="M10" s="3" t="s">
        <v>262</v>
      </c>
      <c r="N10" s="8"/>
      <c r="O10" s="3" t="s">
        <v>257</v>
      </c>
      <c r="P10" s="3" t="s">
        <v>258</v>
      </c>
    </row>
    <row r="11" spans="1:16">
      <c r="A11" s="8" t="s">
        <v>183</v>
      </c>
      <c r="B11" s="8" t="s">
        <v>192</v>
      </c>
      <c r="C11" s="29" t="s">
        <v>191</v>
      </c>
      <c r="D11" s="8">
        <v>151445</v>
      </c>
      <c r="E11" s="54">
        <v>45922</v>
      </c>
      <c r="F11" s="8">
        <v>23559</v>
      </c>
      <c r="G11" s="8"/>
      <c r="H11" s="27" t="s">
        <v>175</v>
      </c>
      <c r="I11" s="8"/>
      <c r="J11" s="3" t="s">
        <v>261</v>
      </c>
      <c r="K11" s="3" t="s">
        <v>260</v>
      </c>
      <c r="L11" s="3" t="s">
        <v>263</v>
      </c>
      <c r="M11" s="3" t="s">
        <v>262</v>
      </c>
      <c r="N11" s="8"/>
      <c r="O11" s="3" t="s">
        <v>257</v>
      </c>
      <c r="P11" s="3" t="s">
        <v>258</v>
      </c>
    </row>
    <row r="12" spans="1:16">
      <c r="A12" s="8" t="s">
        <v>222</v>
      </c>
      <c r="B12" s="8" t="s">
        <v>225</v>
      </c>
      <c r="C12" s="8" t="s">
        <v>224</v>
      </c>
      <c r="D12" s="8" t="s">
        <v>223</v>
      </c>
      <c r="E12" s="8"/>
      <c r="F12" s="8"/>
      <c r="G12" s="8"/>
      <c r="H12" s="27" t="s">
        <v>175</v>
      </c>
      <c r="I12" s="8"/>
      <c r="J12" s="3" t="s">
        <v>261</v>
      </c>
      <c r="K12" s="3" t="s">
        <v>260</v>
      </c>
      <c r="L12" s="3" t="s">
        <v>263</v>
      </c>
      <c r="M12" s="3" t="s">
        <v>262</v>
      </c>
      <c r="N12" s="8"/>
      <c r="O12" s="8"/>
      <c r="P12" s="8"/>
    </row>
    <row r="13" spans="1:16">
      <c r="A13" s="8" t="s">
        <v>272</v>
      </c>
      <c r="B13" s="8" t="s">
        <v>273</v>
      </c>
      <c r="C13" s="52"/>
      <c r="D13" s="52"/>
      <c r="E13" s="54">
        <v>46006</v>
      </c>
      <c r="F13" s="8">
        <v>4520</v>
      </c>
      <c r="G13" s="8"/>
      <c r="H13" s="8"/>
      <c r="I13" s="8"/>
      <c r="J13" s="8"/>
      <c r="K13" s="8"/>
      <c r="L13" s="8"/>
      <c r="M13" s="8"/>
      <c r="N13" s="8"/>
      <c r="O13" s="8"/>
      <c r="P13" s="8"/>
    </row>
    <row r="14" spans="1:16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spans="1:16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 spans="1: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 spans="1:16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 spans="1:16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spans="1:16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</row>
    <row r="20" spans="1:16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 spans="1:16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spans="1:16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spans="1:16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 spans="1:16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spans="1:16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 spans="1:1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</row>
    <row r="27" spans="1:16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 spans="1:16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 spans="1:16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 spans="1:16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spans="1:16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 spans="1:16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6"/>
  <sheetViews>
    <sheetView zoomScaleNormal="100" workbookViewId="0">
      <selection activeCell="D16" sqref="D16"/>
    </sheetView>
  </sheetViews>
  <sheetFormatPr defaultColWidth="8.6640625" defaultRowHeight="14.4"/>
  <cols>
    <col min="1" max="1" width="22.77734375" bestFit="1" customWidth="1"/>
    <col min="2" max="4" width="13" customWidth="1"/>
    <col min="5" max="6" width="18" customWidth="1"/>
    <col min="7" max="7" width="30" customWidth="1"/>
    <col min="8" max="8" width="25" customWidth="1"/>
    <col min="9" max="12" width="11" customWidth="1"/>
    <col min="13" max="15" width="15" customWidth="1"/>
    <col min="16" max="16" width="14" customWidth="1"/>
    <col min="17" max="17" width="13.6640625" customWidth="1"/>
  </cols>
  <sheetData>
    <row r="1" spans="1:17" ht="27.6">
      <c r="A1" s="2" t="s">
        <v>125</v>
      </c>
      <c r="B1" s="2" t="s">
        <v>52</v>
      </c>
      <c r="C1" s="2" t="s">
        <v>68</v>
      </c>
      <c r="D1" s="2" t="s">
        <v>69</v>
      </c>
      <c r="E1" s="2" t="s">
        <v>70</v>
      </c>
      <c r="F1" s="2" t="s">
        <v>122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  <c r="M1" s="2" t="s">
        <v>77</v>
      </c>
      <c r="N1" s="2" t="s">
        <v>64</v>
      </c>
      <c r="O1" s="2" t="s">
        <v>78</v>
      </c>
      <c r="P1" s="2" t="s">
        <v>79</v>
      </c>
      <c r="Q1" s="14" t="s">
        <v>123</v>
      </c>
    </row>
    <row r="2" spans="1:17">
      <c r="A2" s="3"/>
      <c r="B2" s="3"/>
      <c r="C2" s="3"/>
      <c r="D2" s="4"/>
      <c r="E2" s="3"/>
      <c r="F2" s="3"/>
      <c r="G2" s="3"/>
      <c r="H2" s="3"/>
      <c r="I2" s="3"/>
      <c r="J2" s="5"/>
      <c r="K2" s="5"/>
      <c r="L2" s="23">
        <f>J2+K2</f>
        <v>0</v>
      </c>
      <c r="M2" s="3"/>
      <c r="N2" s="3"/>
      <c r="O2" s="3"/>
      <c r="P2" s="3"/>
      <c r="Q2" s="8"/>
    </row>
    <row r="3" spans="1:17">
      <c r="A3" s="3"/>
      <c r="B3" s="3"/>
      <c r="C3" s="3"/>
      <c r="D3" s="4"/>
      <c r="E3" s="3"/>
      <c r="F3" s="3"/>
      <c r="G3" s="3"/>
      <c r="H3" s="3"/>
      <c r="I3" s="3"/>
      <c r="J3" s="5"/>
      <c r="K3" s="5"/>
      <c r="L3" s="23">
        <f>J3+K3</f>
        <v>0</v>
      </c>
      <c r="M3" s="3"/>
      <c r="N3" s="3"/>
      <c r="O3" s="3"/>
      <c r="P3" s="3"/>
      <c r="Q3" s="8"/>
    </row>
    <row r="4" spans="1:17">
      <c r="A4" s="3"/>
      <c r="B4" s="3"/>
      <c r="C4" s="3"/>
      <c r="D4" s="6"/>
      <c r="E4" s="3"/>
      <c r="F4" s="3"/>
      <c r="G4" s="3"/>
      <c r="H4" s="3"/>
      <c r="I4" s="3"/>
      <c r="J4" s="5"/>
      <c r="K4" s="5"/>
      <c r="L4" s="23">
        <f>J4+K4</f>
        <v>0</v>
      </c>
      <c r="M4" s="3"/>
      <c r="N4" s="3"/>
      <c r="O4" s="3"/>
      <c r="P4" s="3"/>
      <c r="Q4" s="8"/>
    </row>
    <row r="5" spans="1:17">
      <c r="A5" s="3"/>
      <c r="B5" s="3"/>
      <c r="C5" s="3"/>
      <c r="D5" s="4"/>
      <c r="E5" s="3"/>
      <c r="F5" s="3"/>
      <c r="G5" s="3"/>
      <c r="H5" s="3"/>
      <c r="I5" s="3"/>
      <c r="J5" s="5"/>
      <c r="K5" s="5"/>
      <c r="L5" s="23">
        <f>J5+K5</f>
        <v>0</v>
      </c>
      <c r="M5" s="3"/>
      <c r="N5" s="3"/>
      <c r="O5" s="3"/>
      <c r="P5" s="3"/>
      <c r="Q5" s="8"/>
    </row>
    <row r="6" spans="1:17">
      <c r="A6" s="3"/>
      <c r="B6" s="3"/>
      <c r="C6" s="3"/>
      <c r="D6" s="4"/>
      <c r="E6" s="3"/>
      <c r="F6" s="3"/>
      <c r="G6" s="3"/>
      <c r="H6" s="3"/>
      <c r="I6" s="3"/>
      <c r="J6" s="5"/>
      <c r="K6" s="5"/>
      <c r="L6" s="23">
        <f>J6+K6</f>
        <v>0</v>
      </c>
      <c r="M6" s="3"/>
      <c r="N6" s="3"/>
      <c r="O6" s="3"/>
      <c r="P6" s="3"/>
      <c r="Q6" s="8"/>
    </row>
    <row r="7" spans="1:1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23">
        <f t="shared" ref="L7:L26" si="0">J7+K7</f>
        <v>0</v>
      </c>
      <c r="M7" s="8"/>
      <c r="N7" s="8"/>
      <c r="O7" s="8"/>
      <c r="P7" s="8"/>
      <c r="Q7" s="8"/>
    </row>
    <row r="8" spans="1:17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23">
        <f t="shared" si="0"/>
        <v>0</v>
      </c>
      <c r="M8" s="8"/>
      <c r="N8" s="8"/>
      <c r="O8" s="8"/>
      <c r="P8" s="8"/>
      <c r="Q8" s="8"/>
    </row>
    <row r="9" spans="1:17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23">
        <f t="shared" si="0"/>
        <v>0</v>
      </c>
      <c r="M9" s="8"/>
      <c r="N9" s="8"/>
      <c r="O9" s="8"/>
      <c r="P9" s="8"/>
      <c r="Q9" s="8"/>
    </row>
    <row r="10" spans="1:17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23">
        <f t="shared" si="0"/>
        <v>0</v>
      </c>
      <c r="M10" s="8"/>
      <c r="N10" s="8"/>
      <c r="O10" s="8"/>
      <c r="P10" s="8"/>
      <c r="Q10" s="8"/>
    </row>
    <row r="11" spans="1:17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23">
        <f t="shared" si="0"/>
        <v>0</v>
      </c>
      <c r="M11" s="8"/>
      <c r="N11" s="8"/>
      <c r="O11" s="8"/>
      <c r="P11" s="8"/>
      <c r="Q11" s="8"/>
    </row>
    <row r="12" spans="1:17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23">
        <f t="shared" si="0"/>
        <v>0</v>
      </c>
      <c r="M12" s="8"/>
      <c r="N12" s="8"/>
      <c r="O12" s="8"/>
      <c r="P12" s="8"/>
      <c r="Q12" s="8"/>
    </row>
    <row r="13" spans="1:17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23">
        <f t="shared" si="0"/>
        <v>0</v>
      </c>
      <c r="M13" s="8"/>
      <c r="N13" s="8"/>
      <c r="O13" s="8"/>
      <c r="P13" s="8"/>
      <c r="Q13" s="8"/>
    </row>
    <row r="14" spans="1:17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23">
        <f t="shared" si="0"/>
        <v>0</v>
      </c>
      <c r="M14" s="8"/>
      <c r="N14" s="8"/>
      <c r="O14" s="8"/>
      <c r="P14" s="8"/>
      <c r="Q14" s="8"/>
    </row>
    <row r="15" spans="1:17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23">
        <f t="shared" si="0"/>
        <v>0</v>
      </c>
      <c r="M15" s="8"/>
      <c r="N15" s="8"/>
      <c r="O15" s="8"/>
      <c r="P15" s="8"/>
      <c r="Q15" s="8"/>
    </row>
    <row r="16" spans="1:17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23">
        <f t="shared" si="0"/>
        <v>0</v>
      </c>
      <c r="M16" s="8"/>
      <c r="N16" s="8"/>
      <c r="O16" s="8"/>
      <c r="P16" s="8"/>
      <c r="Q16" s="8"/>
    </row>
    <row r="17" spans="1: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23">
        <f t="shared" si="0"/>
        <v>0</v>
      </c>
      <c r="M17" s="8"/>
      <c r="N17" s="8"/>
      <c r="O17" s="8"/>
      <c r="P17" s="8"/>
      <c r="Q17" s="8"/>
    </row>
    <row r="18" spans="1:17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23">
        <f t="shared" si="0"/>
        <v>0</v>
      </c>
      <c r="M18" s="8"/>
      <c r="N18" s="8"/>
      <c r="O18" s="8"/>
      <c r="P18" s="8"/>
      <c r="Q18" s="8"/>
    </row>
    <row r="19" spans="1:17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23">
        <f t="shared" si="0"/>
        <v>0</v>
      </c>
      <c r="M19" s="8"/>
      <c r="N19" s="8"/>
      <c r="O19" s="8"/>
      <c r="P19" s="8"/>
      <c r="Q19" s="8"/>
    </row>
    <row r="20" spans="1:17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23">
        <f t="shared" si="0"/>
        <v>0</v>
      </c>
      <c r="M20" s="8"/>
      <c r="N20" s="8"/>
      <c r="O20" s="8"/>
      <c r="P20" s="8"/>
      <c r="Q20" s="8"/>
    </row>
    <row r="21" spans="1:17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23">
        <f t="shared" si="0"/>
        <v>0</v>
      </c>
      <c r="M21" s="8"/>
      <c r="N21" s="8"/>
      <c r="O21" s="8"/>
      <c r="P21" s="8"/>
      <c r="Q21" s="8"/>
    </row>
    <row r="22" spans="1:17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23">
        <f t="shared" si="0"/>
        <v>0</v>
      </c>
      <c r="M22" s="8"/>
      <c r="N22" s="8"/>
      <c r="O22" s="8"/>
      <c r="P22" s="8"/>
      <c r="Q22" s="8"/>
    </row>
    <row r="23" spans="1:17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23">
        <f t="shared" si="0"/>
        <v>0</v>
      </c>
      <c r="M23" s="8"/>
      <c r="N23" s="8"/>
      <c r="O23" s="8"/>
      <c r="P23" s="8"/>
      <c r="Q23" s="8"/>
    </row>
    <row r="24" spans="1:17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23">
        <f t="shared" si="0"/>
        <v>0</v>
      </c>
      <c r="M24" s="8"/>
      <c r="N24" s="8"/>
      <c r="O24" s="8"/>
      <c r="P24" s="8"/>
      <c r="Q24" s="8"/>
    </row>
    <row r="25" spans="1:17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23">
        <f t="shared" si="0"/>
        <v>0</v>
      </c>
      <c r="M25" s="8"/>
      <c r="N25" s="8"/>
      <c r="O25" s="8"/>
      <c r="P25" s="8"/>
      <c r="Q25" s="8"/>
    </row>
    <row r="26" spans="1:17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23">
        <f t="shared" si="0"/>
        <v>0</v>
      </c>
      <c r="M26" s="8"/>
      <c r="N26" s="8"/>
      <c r="O26" s="8"/>
      <c r="P26" s="8"/>
      <c r="Q26" s="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1"/>
  <sheetViews>
    <sheetView tabSelected="1" topLeftCell="F1" zoomScaleNormal="100" workbookViewId="0">
      <selection activeCell="K14" sqref="K14"/>
    </sheetView>
  </sheetViews>
  <sheetFormatPr defaultColWidth="8.6640625" defaultRowHeight="14.4"/>
  <cols>
    <col min="1" max="1" width="15.44140625" customWidth="1"/>
    <col min="2" max="2" width="22.33203125" customWidth="1"/>
    <col min="3" max="3" width="22.44140625" customWidth="1"/>
    <col min="4" max="6" width="16" customWidth="1"/>
    <col min="7" max="7" width="13.33203125" customWidth="1"/>
    <col min="8" max="8" width="12" customWidth="1"/>
    <col min="9" max="9" width="19.109375" customWidth="1"/>
    <col min="10" max="14" width="20" customWidth="1"/>
    <col min="15" max="15" width="40.6640625" customWidth="1"/>
  </cols>
  <sheetData>
    <row r="1" spans="1:15" ht="27.6">
      <c r="A1" s="2" t="s">
        <v>52</v>
      </c>
      <c r="B1" s="2" t="s">
        <v>53</v>
      </c>
      <c r="C1" s="2" t="s">
        <v>82</v>
      </c>
      <c r="D1" s="2" t="s">
        <v>63</v>
      </c>
      <c r="E1" s="2" t="s">
        <v>64</v>
      </c>
      <c r="F1" s="2" t="s">
        <v>265</v>
      </c>
      <c r="G1" s="2" t="s">
        <v>83</v>
      </c>
      <c r="H1" s="2" t="s">
        <v>84</v>
      </c>
      <c r="I1" s="2" t="s">
        <v>85</v>
      </c>
      <c r="J1" s="2" t="s">
        <v>70</v>
      </c>
      <c r="K1" s="2" t="s">
        <v>117</v>
      </c>
      <c r="L1" s="2" t="s">
        <v>118</v>
      </c>
      <c r="M1" s="2" t="s">
        <v>119</v>
      </c>
      <c r="N1" s="2" t="s">
        <v>120</v>
      </c>
      <c r="O1" s="2" t="s">
        <v>86</v>
      </c>
    </row>
    <row r="2" spans="1:15">
      <c r="A2" s="3" t="s">
        <v>164</v>
      </c>
      <c r="B2" s="3" t="s">
        <v>184</v>
      </c>
      <c r="C2" s="3" t="s">
        <v>264</v>
      </c>
      <c r="D2" s="50">
        <v>46079</v>
      </c>
      <c r="E2" s="24">
        <v>46168</v>
      </c>
      <c r="F2" s="24" t="s">
        <v>266</v>
      </c>
      <c r="G2" s="25">
        <f ca="1">E2-TODAY()</f>
        <v>55</v>
      </c>
      <c r="H2" s="51" t="s">
        <v>175</v>
      </c>
      <c r="I2" s="5">
        <v>150</v>
      </c>
      <c r="J2" s="3" t="s">
        <v>261</v>
      </c>
      <c r="K2" s="3" t="s">
        <v>257</v>
      </c>
      <c r="L2" s="24" t="s">
        <v>258</v>
      </c>
      <c r="M2" s="3" t="s">
        <v>267</v>
      </c>
      <c r="N2" s="3" t="s">
        <v>268</v>
      </c>
      <c r="O2" s="3"/>
    </row>
    <row r="3" spans="1:15">
      <c r="A3" s="3" t="s">
        <v>166</v>
      </c>
      <c r="B3" s="3" t="s">
        <v>185</v>
      </c>
      <c r="C3" s="3" t="s">
        <v>264</v>
      </c>
      <c r="D3" s="50">
        <v>46079</v>
      </c>
      <c r="E3" s="24">
        <v>46168</v>
      </c>
      <c r="F3" s="24" t="s">
        <v>266</v>
      </c>
      <c r="G3" s="25">
        <f ca="1">E3-TODAY()</f>
        <v>55</v>
      </c>
      <c r="H3" s="51" t="s">
        <v>175</v>
      </c>
      <c r="I3" s="5">
        <v>150</v>
      </c>
      <c r="J3" s="3" t="s">
        <v>261</v>
      </c>
      <c r="K3" s="3" t="s">
        <v>257</v>
      </c>
      <c r="L3" s="24" t="s">
        <v>258</v>
      </c>
      <c r="M3" s="3" t="s">
        <v>267</v>
      </c>
      <c r="N3" s="3" t="s">
        <v>268</v>
      </c>
      <c r="O3" s="3"/>
    </row>
    <row r="4" spans="1:15">
      <c r="A4" s="3" t="s">
        <v>168</v>
      </c>
      <c r="B4" s="3" t="s">
        <v>186</v>
      </c>
      <c r="C4" s="3" t="s">
        <v>264</v>
      </c>
      <c r="D4" s="50">
        <v>46079</v>
      </c>
      <c r="E4" s="24">
        <v>46168</v>
      </c>
      <c r="F4" s="24" t="s">
        <v>266</v>
      </c>
      <c r="G4" s="25">
        <f ca="1">E4-TODAY()</f>
        <v>55</v>
      </c>
      <c r="H4" s="51" t="s">
        <v>175</v>
      </c>
      <c r="I4" s="5">
        <v>150</v>
      </c>
      <c r="J4" s="3" t="s">
        <v>261</v>
      </c>
      <c r="K4" s="3" t="s">
        <v>257</v>
      </c>
      <c r="L4" s="24" t="s">
        <v>258</v>
      </c>
      <c r="M4" s="3" t="s">
        <v>267</v>
      </c>
      <c r="N4" s="3" t="s">
        <v>268</v>
      </c>
      <c r="O4" s="3"/>
    </row>
    <row r="5" spans="1:15">
      <c r="A5" s="3" t="s">
        <v>171</v>
      </c>
      <c r="B5" s="3" t="s">
        <v>186</v>
      </c>
      <c r="C5" s="3" t="s">
        <v>264</v>
      </c>
      <c r="D5" s="50">
        <v>46079</v>
      </c>
      <c r="E5" s="24">
        <v>46168</v>
      </c>
      <c r="F5" s="24" t="s">
        <v>266</v>
      </c>
      <c r="G5" s="25">
        <f ca="1">E5-TODAY()</f>
        <v>55</v>
      </c>
      <c r="H5" s="51" t="s">
        <v>175</v>
      </c>
      <c r="I5" s="5">
        <v>150</v>
      </c>
      <c r="J5" s="3" t="s">
        <v>261</v>
      </c>
      <c r="K5" s="3" t="s">
        <v>257</v>
      </c>
      <c r="L5" s="24" t="s">
        <v>258</v>
      </c>
      <c r="M5" s="3" t="s">
        <v>267</v>
      </c>
      <c r="N5" s="3" t="s">
        <v>268</v>
      </c>
      <c r="O5" s="3"/>
    </row>
    <row r="6" spans="1:15">
      <c r="A6" s="28" t="s">
        <v>172</v>
      </c>
      <c r="B6" s="3" t="s">
        <v>186</v>
      </c>
      <c r="C6" s="3" t="s">
        <v>264</v>
      </c>
      <c r="D6" s="50">
        <v>46079</v>
      </c>
      <c r="E6" s="24">
        <v>46168</v>
      </c>
      <c r="F6" s="24" t="s">
        <v>266</v>
      </c>
      <c r="G6" s="25">
        <f ca="1">E6-TODAY()</f>
        <v>55</v>
      </c>
      <c r="H6" s="51" t="s">
        <v>175</v>
      </c>
      <c r="I6" s="5">
        <v>150</v>
      </c>
      <c r="J6" s="3" t="s">
        <v>261</v>
      </c>
      <c r="K6" s="3" t="s">
        <v>257</v>
      </c>
      <c r="L6" s="24" t="s">
        <v>258</v>
      </c>
      <c r="M6" s="3" t="s">
        <v>267</v>
      </c>
      <c r="N6" s="3" t="s">
        <v>268</v>
      </c>
      <c r="O6" s="3"/>
    </row>
    <row r="7" spans="1:15">
      <c r="A7" s="29" t="s">
        <v>174</v>
      </c>
      <c r="B7" s="29" t="s">
        <v>189</v>
      </c>
      <c r="C7" s="3" t="s">
        <v>264</v>
      </c>
      <c r="D7" s="50">
        <v>46079</v>
      </c>
      <c r="E7" s="24">
        <v>46168</v>
      </c>
      <c r="F7" s="24" t="s">
        <v>266</v>
      </c>
      <c r="G7" s="25">
        <f t="shared" ref="G7:G21" ca="1" si="0">E7-TODAY()</f>
        <v>55</v>
      </c>
      <c r="H7" s="51" t="s">
        <v>175</v>
      </c>
      <c r="I7" s="5">
        <v>150</v>
      </c>
      <c r="J7" s="3" t="s">
        <v>261</v>
      </c>
      <c r="K7" s="3" t="s">
        <v>257</v>
      </c>
      <c r="L7" s="24" t="s">
        <v>258</v>
      </c>
      <c r="M7" s="3" t="s">
        <v>267</v>
      </c>
      <c r="N7" s="3" t="s">
        <v>268</v>
      </c>
      <c r="O7" s="8"/>
    </row>
    <row r="8" spans="1:15">
      <c r="A8" s="8" t="s">
        <v>176</v>
      </c>
      <c r="B8" s="8" t="s">
        <v>187</v>
      </c>
      <c r="C8" s="3" t="s">
        <v>264</v>
      </c>
      <c r="D8" s="50">
        <v>46079</v>
      </c>
      <c r="E8" s="24">
        <v>46168</v>
      </c>
      <c r="F8" s="24" t="s">
        <v>266</v>
      </c>
      <c r="G8" s="25">
        <f t="shared" ca="1" si="0"/>
        <v>55</v>
      </c>
      <c r="H8" s="51" t="s">
        <v>175</v>
      </c>
      <c r="I8" s="5">
        <v>150</v>
      </c>
      <c r="J8" s="3" t="s">
        <v>261</v>
      </c>
      <c r="K8" s="3" t="s">
        <v>257</v>
      </c>
      <c r="L8" s="24" t="s">
        <v>258</v>
      </c>
      <c r="M8" s="3" t="s">
        <v>267</v>
      </c>
      <c r="N8" s="3" t="s">
        <v>268</v>
      </c>
      <c r="O8" s="8" t="s">
        <v>269</v>
      </c>
    </row>
    <row r="9" spans="1:15">
      <c r="A9" s="8" t="s">
        <v>178</v>
      </c>
      <c r="B9" s="8" t="s">
        <v>187</v>
      </c>
      <c r="C9" s="3" t="s">
        <v>264</v>
      </c>
      <c r="D9" s="50">
        <v>46079</v>
      </c>
      <c r="E9" s="24">
        <v>46168</v>
      </c>
      <c r="F9" s="24" t="s">
        <v>266</v>
      </c>
      <c r="G9" s="25">
        <f t="shared" ca="1" si="0"/>
        <v>55</v>
      </c>
      <c r="H9" s="51" t="s">
        <v>175</v>
      </c>
      <c r="I9" s="5">
        <v>150</v>
      </c>
      <c r="J9" s="3" t="s">
        <v>261</v>
      </c>
      <c r="K9" s="3" t="s">
        <v>257</v>
      </c>
      <c r="L9" s="24" t="s">
        <v>258</v>
      </c>
      <c r="M9" s="3" t="s">
        <v>267</v>
      </c>
      <c r="N9" s="3" t="s">
        <v>268</v>
      </c>
      <c r="O9" s="8"/>
    </row>
    <row r="10" spans="1:15">
      <c r="A10" s="8" t="s">
        <v>181</v>
      </c>
      <c r="B10" s="8" t="s">
        <v>187</v>
      </c>
      <c r="C10" s="3" t="s">
        <v>264</v>
      </c>
      <c r="D10" s="50">
        <v>46079</v>
      </c>
      <c r="E10" s="24">
        <v>46168</v>
      </c>
      <c r="F10" s="24" t="s">
        <v>266</v>
      </c>
      <c r="G10" s="25">
        <f t="shared" ca="1" si="0"/>
        <v>55</v>
      </c>
      <c r="H10" s="51" t="s">
        <v>175</v>
      </c>
      <c r="I10" s="5">
        <v>150</v>
      </c>
      <c r="J10" s="3" t="s">
        <v>261</v>
      </c>
      <c r="K10" s="3" t="s">
        <v>257</v>
      </c>
      <c r="L10" s="24" t="s">
        <v>258</v>
      </c>
      <c r="M10" s="3" t="s">
        <v>267</v>
      </c>
      <c r="N10" s="3" t="s">
        <v>268</v>
      </c>
      <c r="O10" s="8" t="s">
        <v>269</v>
      </c>
    </row>
    <row r="11" spans="1:15">
      <c r="A11" s="8" t="s">
        <v>183</v>
      </c>
      <c r="B11" s="8" t="s">
        <v>192</v>
      </c>
      <c r="C11" s="3" t="s">
        <v>264</v>
      </c>
      <c r="D11" s="50">
        <v>46079</v>
      </c>
      <c r="E11" s="24">
        <v>46168</v>
      </c>
      <c r="F11" s="24" t="s">
        <v>266</v>
      </c>
      <c r="G11" s="25">
        <f t="shared" ca="1" si="0"/>
        <v>55</v>
      </c>
      <c r="H11" s="51" t="s">
        <v>175</v>
      </c>
      <c r="I11" s="5">
        <v>150</v>
      </c>
      <c r="J11" s="3" t="s">
        <v>261</v>
      </c>
      <c r="K11" s="3" t="s">
        <v>257</v>
      </c>
      <c r="L11" s="24" t="s">
        <v>258</v>
      </c>
      <c r="M11" s="3" t="s">
        <v>267</v>
      </c>
      <c r="N11" s="3" t="s">
        <v>268</v>
      </c>
      <c r="O11" s="8" t="s">
        <v>270</v>
      </c>
    </row>
    <row r="12" spans="1:15">
      <c r="A12" s="8" t="s">
        <v>222</v>
      </c>
      <c r="B12" s="8" t="s">
        <v>225</v>
      </c>
      <c r="C12" s="3" t="s">
        <v>264</v>
      </c>
      <c r="D12" s="50">
        <v>46079</v>
      </c>
      <c r="E12" s="24">
        <v>46168</v>
      </c>
      <c r="F12" s="24" t="s">
        <v>266</v>
      </c>
      <c r="G12" s="25">
        <f t="shared" ca="1" si="0"/>
        <v>55</v>
      </c>
      <c r="H12" s="51" t="s">
        <v>175</v>
      </c>
      <c r="I12" s="5">
        <v>150</v>
      </c>
      <c r="J12" s="3" t="s">
        <v>261</v>
      </c>
      <c r="K12" s="3" t="s">
        <v>257</v>
      </c>
      <c r="L12" s="24" t="s">
        <v>258</v>
      </c>
      <c r="M12" s="3" t="s">
        <v>267</v>
      </c>
      <c r="N12" s="3" t="s">
        <v>268</v>
      </c>
      <c r="O12" s="8" t="s">
        <v>271</v>
      </c>
    </row>
    <row r="13" spans="1:15">
      <c r="A13" s="8"/>
      <c r="B13" s="8"/>
      <c r="C13" s="8"/>
      <c r="D13" s="8"/>
      <c r="E13" s="8"/>
      <c r="F13" s="8"/>
      <c r="G13" s="25">
        <f t="shared" ca="1" si="0"/>
        <v>-46113</v>
      </c>
      <c r="H13" s="25" t="str">
        <f t="shared" ref="H13:H21" ca="1" si="1">IF(G13&lt;0,"OVERDUE",IF(G13&lt;=7,"URGENT",IF(G13&lt;=30,"UPCOMING","OK")))</f>
        <v>OVERDUE</v>
      </c>
      <c r="I13" s="8"/>
      <c r="J13" s="8"/>
      <c r="K13" s="8"/>
      <c r="L13" s="8"/>
      <c r="M13" s="8"/>
      <c r="N13" s="8"/>
      <c r="O13" s="8"/>
    </row>
    <row r="14" spans="1:15">
      <c r="A14" s="8"/>
      <c r="B14" s="8"/>
      <c r="C14" s="8"/>
      <c r="D14" s="8"/>
      <c r="E14" s="8"/>
      <c r="F14" s="8"/>
      <c r="G14" s="25">
        <f t="shared" ca="1" si="0"/>
        <v>-46113</v>
      </c>
      <c r="H14" s="25" t="str">
        <f t="shared" ca="1" si="1"/>
        <v>OVERDUE</v>
      </c>
      <c r="I14" s="8"/>
      <c r="J14" s="8"/>
      <c r="K14" s="8"/>
      <c r="L14" s="8"/>
      <c r="M14" s="8"/>
      <c r="N14" s="8"/>
      <c r="O14" s="8"/>
    </row>
    <row r="15" spans="1:15">
      <c r="A15" s="8"/>
      <c r="B15" s="8"/>
      <c r="C15" s="8"/>
      <c r="D15" s="8"/>
      <c r="E15" s="8"/>
      <c r="F15" s="8"/>
      <c r="G15" s="25">
        <f t="shared" ca="1" si="0"/>
        <v>-46113</v>
      </c>
      <c r="H15" s="25" t="str">
        <f t="shared" ca="1" si="1"/>
        <v>OVERDUE</v>
      </c>
      <c r="I15" s="8"/>
      <c r="J15" s="8"/>
      <c r="K15" s="8"/>
      <c r="L15" s="8"/>
      <c r="M15" s="8"/>
      <c r="N15" s="8"/>
      <c r="O15" s="8"/>
    </row>
    <row r="16" spans="1:15">
      <c r="A16" s="8"/>
      <c r="B16" s="8"/>
      <c r="C16" s="8"/>
      <c r="D16" s="8"/>
      <c r="E16" s="8"/>
      <c r="F16" s="8"/>
      <c r="G16" s="25">
        <f t="shared" ca="1" si="0"/>
        <v>-46113</v>
      </c>
      <c r="H16" s="25" t="str">
        <f t="shared" ca="1" si="1"/>
        <v>OVERDUE</v>
      </c>
      <c r="I16" s="8"/>
      <c r="J16" s="8"/>
      <c r="K16" s="8"/>
      <c r="L16" s="8"/>
      <c r="M16" s="8"/>
      <c r="N16" s="8"/>
      <c r="O16" s="8"/>
    </row>
    <row r="17" spans="1:15">
      <c r="A17" s="8"/>
      <c r="B17" s="8"/>
      <c r="C17" s="8"/>
      <c r="D17" s="8"/>
      <c r="E17" s="8"/>
      <c r="F17" s="8"/>
      <c r="G17" s="25">
        <f t="shared" ca="1" si="0"/>
        <v>-46113</v>
      </c>
      <c r="H17" s="25" t="str">
        <f t="shared" ca="1" si="1"/>
        <v>OVERDUE</v>
      </c>
      <c r="I17" s="8"/>
      <c r="J17" s="8"/>
      <c r="K17" s="8"/>
      <c r="L17" s="8"/>
      <c r="M17" s="8"/>
      <c r="N17" s="8"/>
      <c r="O17" s="8"/>
    </row>
    <row r="18" spans="1:15">
      <c r="A18" s="8"/>
      <c r="B18" s="8"/>
      <c r="C18" s="8"/>
      <c r="D18" s="8"/>
      <c r="E18" s="8"/>
      <c r="F18" s="8"/>
      <c r="G18" s="25">
        <f t="shared" ca="1" si="0"/>
        <v>-46113</v>
      </c>
      <c r="H18" s="25" t="str">
        <f t="shared" ca="1" si="1"/>
        <v>OVERDUE</v>
      </c>
      <c r="I18" s="8"/>
      <c r="J18" s="8"/>
      <c r="K18" s="8"/>
      <c r="L18" s="8"/>
      <c r="M18" s="8"/>
      <c r="N18" s="8"/>
      <c r="O18" s="8"/>
    </row>
    <row r="19" spans="1:15">
      <c r="A19" s="8"/>
      <c r="B19" s="8"/>
      <c r="C19" s="8"/>
      <c r="D19" s="8"/>
      <c r="E19" s="8"/>
      <c r="F19" s="8"/>
      <c r="G19" s="25">
        <f t="shared" ca="1" si="0"/>
        <v>-46113</v>
      </c>
      <c r="H19" s="25" t="str">
        <f t="shared" ca="1" si="1"/>
        <v>OVERDUE</v>
      </c>
      <c r="I19" s="8"/>
      <c r="J19" s="8"/>
      <c r="K19" s="8"/>
      <c r="L19" s="8"/>
      <c r="M19" s="8"/>
      <c r="N19" s="8"/>
      <c r="O19" s="8"/>
    </row>
    <row r="20" spans="1:15">
      <c r="A20" s="8"/>
      <c r="B20" s="8"/>
      <c r="C20" s="8"/>
      <c r="D20" s="8"/>
      <c r="E20" s="8"/>
      <c r="F20" s="8"/>
      <c r="G20" s="25">
        <f t="shared" ca="1" si="0"/>
        <v>-46113</v>
      </c>
      <c r="H20" s="25" t="str">
        <f t="shared" ca="1" si="1"/>
        <v>OVERDUE</v>
      </c>
      <c r="I20" s="8"/>
      <c r="J20" s="8"/>
      <c r="K20" s="8"/>
      <c r="L20" s="8"/>
      <c r="M20" s="8"/>
      <c r="N20" s="8"/>
      <c r="O20" s="8"/>
    </row>
    <row r="21" spans="1:15">
      <c r="A21" s="8"/>
      <c r="B21" s="8"/>
      <c r="C21" s="8"/>
      <c r="D21" s="8"/>
      <c r="E21" s="8"/>
      <c r="F21" s="8"/>
      <c r="G21" s="25">
        <f t="shared" ca="1" si="0"/>
        <v>-46113</v>
      </c>
      <c r="H21" s="25" t="str">
        <f t="shared" ca="1" si="1"/>
        <v>OVERDUE</v>
      </c>
      <c r="I21" s="8"/>
      <c r="J21" s="8"/>
      <c r="K21" s="8"/>
      <c r="L21" s="8"/>
      <c r="M21" s="8"/>
      <c r="N21" s="8"/>
      <c r="O21" s="8"/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25BCB-670A-8A43-8670-C51CD10947A8}">
  <dimension ref="A1:R18"/>
  <sheetViews>
    <sheetView workbookViewId="0">
      <selection activeCell="J17" sqref="J17"/>
    </sheetView>
  </sheetViews>
  <sheetFormatPr defaultColWidth="11.5546875" defaultRowHeight="14.4"/>
  <cols>
    <col min="3" max="3" width="19" bestFit="1" customWidth="1"/>
    <col min="4" max="4" width="7.33203125" bestFit="1" customWidth="1"/>
  </cols>
  <sheetData>
    <row r="1" spans="1:18">
      <c r="A1" t="s">
        <v>88</v>
      </c>
      <c r="B1" t="s">
        <v>130</v>
      </c>
      <c r="C1" t="s">
        <v>94</v>
      </c>
      <c r="D1" t="s">
        <v>128</v>
      </c>
      <c r="E1" t="s">
        <v>129</v>
      </c>
      <c r="F1" t="s">
        <v>121</v>
      </c>
      <c r="G1" t="s">
        <v>131</v>
      </c>
      <c r="H1" t="s">
        <v>132</v>
      </c>
      <c r="I1" t="s">
        <v>133</v>
      </c>
      <c r="J1" t="s">
        <v>134</v>
      </c>
    </row>
    <row r="2" spans="1:18">
      <c r="H2" t="s">
        <v>135</v>
      </c>
      <c r="I2" s="15"/>
    </row>
    <row r="3" spans="1:18">
      <c r="Q3" s="16" t="s">
        <v>136</v>
      </c>
      <c r="R3" s="16" t="s">
        <v>137</v>
      </c>
    </row>
    <row r="4" spans="1:18">
      <c r="Q4" s="17" t="s">
        <v>138</v>
      </c>
      <c r="R4" s="18" t="s">
        <v>139</v>
      </c>
    </row>
    <row r="5" spans="1:18">
      <c r="Q5" s="17" t="s">
        <v>140</v>
      </c>
      <c r="R5" s="17" t="s">
        <v>141</v>
      </c>
    </row>
    <row r="6" spans="1:18">
      <c r="Q6" s="17" t="s">
        <v>142</v>
      </c>
      <c r="R6" s="19">
        <v>1</v>
      </c>
    </row>
    <row r="7" spans="1:18">
      <c r="Q7" s="17" t="s">
        <v>143</v>
      </c>
      <c r="R7" s="19" t="e">
        <v>#REF!</v>
      </c>
    </row>
    <row r="8" spans="1:18">
      <c r="Q8" s="17" t="s">
        <v>144</v>
      </c>
      <c r="R8" s="19" t="s">
        <v>145</v>
      </c>
    </row>
    <row r="9" spans="1:18">
      <c r="Q9" s="17" t="s">
        <v>146</v>
      </c>
      <c r="R9" s="19" t="e">
        <v>#REF!</v>
      </c>
    </row>
    <row r="10" spans="1:18">
      <c r="Q10" s="17" t="s">
        <v>147</v>
      </c>
      <c r="R10" s="19" t="e">
        <v>#REF!</v>
      </c>
    </row>
    <row r="11" spans="1:18">
      <c r="Q11" s="17" t="s">
        <v>148</v>
      </c>
      <c r="R11" s="19" t="e">
        <v>#REF!</v>
      </c>
    </row>
    <row r="12" spans="1:18">
      <c r="Q12" s="17" t="s">
        <v>149</v>
      </c>
      <c r="R12" s="19">
        <v>0</v>
      </c>
    </row>
    <row r="13" spans="1:18">
      <c r="Q13" s="17" t="s">
        <v>150</v>
      </c>
      <c r="R13" s="19">
        <v>0</v>
      </c>
    </row>
    <row r="14" spans="1:18">
      <c r="Q14" s="17" t="s">
        <v>151</v>
      </c>
      <c r="R14" s="19">
        <v>0</v>
      </c>
    </row>
    <row r="15" spans="1:18">
      <c r="Q15" s="18" t="s">
        <v>152</v>
      </c>
      <c r="R15" s="17"/>
    </row>
    <row r="16" spans="1:18">
      <c r="Q16" s="17" t="s">
        <v>153</v>
      </c>
      <c r="R16" s="17" t="s">
        <v>154</v>
      </c>
    </row>
    <row r="17" spans="17:18">
      <c r="Q17" s="17" t="s">
        <v>155</v>
      </c>
      <c r="R17" s="17" t="s">
        <v>156</v>
      </c>
    </row>
    <row r="18" spans="17:18">
      <c r="Q18" s="17" t="s">
        <v>157</v>
      </c>
      <c r="R18" s="17" t="s">
        <v>158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9"/>
  <sheetViews>
    <sheetView topLeftCell="B1" zoomScaleNormal="100" workbookViewId="0">
      <selection activeCell="D32" sqref="D32"/>
    </sheetView>
  </sheetViews>
  <sheetFormatPr defaultColWidth="8.6640625" defaultRowHeight="14.4"/>
  <cols>
    <col min="1" max="1" width="30" customWidth="1"/>
    <col min="2" max="2" width="20" customWidth="1"/>
    <col min="3" max="3" width="15" customWidth="1"/>
    <col min="4" max="5" width="18" customWidth="1"/>
    <col min="6" max="6" width="20" customWidth="1"/>
    <col min="7" max="7" width="61.6640625" bestFit="1" customWidth="1"/>
  </cols>
  <sheetData>
    <row r="1" spans="1:7" ht="17.399999999999999">
      <c r="A1" s="57" t="s">
        <v>87</v>
      </c>
      <c r="B1" s="57"/>
      <c r="C1" s="57"/>
      <c r="D1" s="57"/>
      <c r="E1" s="57"/>
      <c r="F1" s="57"/>
    </row>
    <row r="3" spans="1:7">
      <c r="A3" s="7" t="s">
        <v>88</v>
      </c>
      <c r="B3" s="7" t="s">
        <v>89</v>
      </c>
      <c r="C3" s="7" t="s">
        <v>90</v>
      </c>
      <c r="D3" s="7" t="s">
        <v>76</v>
      </c>
      <c r="E3" s="7" t="s">
        <v>91</v>
      </c>
      <c r="F3" s="7" t="s">
        <v>92</v>
      </c>
      <c r="G3" s="7" t="s">
        <v>121</v>
      </c>
    </row>
    <row r="4" spans="1:7">
      <c r="A4" s="8"/>
      <c r="B4" s="9"/>
      <c r="C4" s="9"/>
      <c r="D4" s="20">
        <f>B4+C4</f>
        <v>0</v>
      </c>
      <c r="E4" s="8"/>
      <c r="F4" s="20" t="e">
        <f>D4/E4</f>
        <v>#DIV/0!</v>
      </c>
    </row>
    <row r="5" spans="1:7">
      <c r="A5" s="8"/>
      <c r="B5" s="9"/>
      <c r="C5" s="9"/>
      <c r="D5" s="20">
        <f>B5+C5</f>
        <v>0</v>
      </c>
      <c r="E5" s="8"/>
      <c r="F5" s="20" t="e">
        <f>D5/E5</f>
        <v>#DIV/0!</v>
      </c>
    </row>
    <row r="6" spans="1:7">
      <c r="A6" s="8"/>
      <c r="B6" s="9"/>
      <c r="C6" s="9"/>
      <c r="D6" s="20">
        <f>B6+C6</f>
        <v>0</v>
      </c>
      <c r="E6" s="8"/>
      <c r="F6" s="20" t="e">
        <f>D6/E6</f>
        <v>#DIV/0!</v>
      </c>
    </row>
    <row r="7" spans="1:7">
      <c r="A7" s="8"/>
      <c r="B7" s="9"/>
      <c r="C7" s="9"/>
      <c r="D7" s="9"/>
      <c r="E7" s="8"/>
      <c r="F7" s="9"/>
    </row>
    <row r="9" spans="1:7" ht="17.399999999999999">
      <c r="A9" s="57" t="s">
        <v>93</v>
      </c>
      <c r="B9" s="57"/>
      <c r="C9" s="57"/>
      <c r="D9" s="57"/>
      <c r="E9" s="57"/>
      <c r="F9" s="57"/>
    </row>
    <row r="11" spans="1:7">
      <c r="A11" s="7" t="s">
        <v>53</v>
      </c>
      <c r="B11" s="7" t="s">
        <v>94</v>
      </c>
      <c r="C11" s="7" t="s">
        <v>91</v>
      </c>
      <c r="D11" s="7" t="s">
        <v>92</v>
      </c>
      <c r="E11" s="7" t="s">
        <v>95</v>
      </c>
      <c r="F11" s="7"/>
    </row>
    <row r="12" spans="1:7">
      <c r="A12" s="8" t="s">
        <v>65</v>
      </c>
      <c r="B12" s="20">
        <f>SUMIF('Maintenance History 2025'!B:B,"RT-*",'Maintenance History 2025'!L:L)</f>
        <v>0</v>
      </c>
      <c r="C12" s="21">
        <f>COUNTIF('Maintenance History 2025'!B:B,"RT-*")</f>
        <v>0</v>
      </c>
      <c r="D12" s="20" t="e">
        <f>B12/C12</f>
        <v>#DIV/0!</v>
      </c>
      <c r="E12" s="21">
        <f>SUMIF('Maintenance History 2025'!B:B,"RT-*",'Maintenance History 2025'!P:P)</f>
        <v>0</v>
      </c>
      <c r="F12" s="8"/>
    </row>
    <row r="13" spans="1:7">
      <c r="A13" s="8" t="s">
        <v>66</v>
      </c>
      <c r="B13" s="20">
        <f>SUMIF('Maintenance History 2025'!B:B,"OP-*",'Maintenance History 2025'!L:L)</f>
        <v>0</v>
      </c>
      <c r="C13" s="21">
        <f>COUNTIF('Maintenance History 2025'!B:B,"OP-*")</f>
        <v>0</v>
      </c>
      <c r="D13" s="20" t="e">
        <f>B13/C13</f>
        <v>#DIV/0!</v>
      </c>
      <c r="E13" s="21">
        <f>SUMIF('Maintenance History 2025'!B:B,"OP-*",'Maintenance History 2025'!P:P)</f>
        <v>0</v>
      </c>
      <c r="F13" s="8"/>
    </row>
    <row r="14" spans="1:7">
      <c r="A14" s="8" t="s">
        <v>67</v>
      </c>
      <c r="B14" s="20">
        <f>SUMIF('Maintenance History 2025'!B:B,"FK-*",'Maintenance History 2025'!L:L)</f>
        <v>0</v>
      </c>
      <c r="C14" s="21">
        <f>COUNTIF('Maintenance History 2025'!B:B,"FK-*")</f>
        <v>0</v>
      </c>
      <c r="D14" s="20" t="e">
        <f>B14/C14</f>
        <v>#DIV/0!</v>
      </c>
      <c r="E14" s="21">
        <f>SUMIF('Maintenance History 2025'!B:B,"FK-*",'Maintenance History 2025'!P:P)</f>
        <v>0</v>
      </c>
      <c r="F14" s="8"/>
    </row>
    <row r="17" spans="1:6" ht="17.399999999999999">
      <c r="A17" s="57" t="s">
        <v>96</v>
      </c>
      <c r="B17" s="57"/>
      <c r="C17" s="57"/>
      <c r="D17" s="57"/>
      <c r="E17" s="57"/>
      <c r="F17" s="57"/>
    </row>
    <row r="19" spans="1:6">
      <c r="A19" s="7" t="s">
        <v>70</v>
      </c>
      <c r="B19" s="7" t="s">
        <v>97</v>
      </c>
      <c r="C19" s="7" t="s">
        <v>91</v>
      </c>
      <c r="D19" s="7" t="s">
        <v>98</v>
      </c>
      <c r="E19" s="7" t="s">
        <v>95</v>
      </c>
      <c r="F19" s="7"/>
    </row>
    <row r="20" spans="1:6">
      <c r="A20" s="8" t="s">
        <v>80</v>
      </c>
      <c r="B20" s="20">
        <f>SUMIF('Maintenance History 2025'!E:E,"ABC Maintenance Co.",'Maintenance History 2025'!L:L)</f>
        <v>0</v>
      </c>
      <c r="C20" s="21">
        <f>COUNTIF('Maintenance History 2025'!E:E,"ABC Maintenance Co.")</f>
        <v>0</v>
      </c>
      <c r="D20" s="20" t="e">
        <f>B20/C20</f>
        <v>#DIV/0!</v>
      </c>
      <c r="E20" s="21">
        <f>SUMIF('Maintenance History 2025'!E:E,"ABC Maintenance Co.",'Maintenance History 2025'!P:P)</f>
        <v>0</v>
      </c>
      <c r="F20" s="8"/>
    </row>
    <row r="21" spans="1:6">
      <c r="A21" s="8" t="s">
        <v>81</v>
      </c>
      <c r="B21" s="20">
        <f>SUMIF('Maintenance History 2025'!E:E,"XYZ Equipment Services",'Maintenance History 2025'!L:L)</f>
        <v>0</v>
      </c>
      <c r="C21" s="21">
        <f>COUNTIF('Maintenance History 2025'!E:E,"XYZ Equipment Services")</f>
        <v>0</v>
      </c>
      <c r="D21" s="20" t="e">
        <f>B21/C21</f>
        <v>#DIV/0!</v>
      </c>
      <c r="E21" s="21">
        <f>SUMIF('Maintenance History 2025'!E:E,"XYZ Equipment Services",'Maintenance History 2025'!P:P)</f>
        <v>0</v>
      </c>
      <c r="F21" s="8"/>
    </row>
    <row r="24" spans="1:6" ht="17.399999999999999">
      <c r="A24" s="57" t="s">
        <v>99</v>
      </c>
      <c r="B24" s="57"/>
      <c r="C24" s="57"/>
    </row>
    <row r="26" spans="1:6" ht="15.6">
      <c r="A26" s="10" t="s">
        <v>100</v>
      </c>
      <c r="B26" s="11">
        <f>SUM('Maintenance History 2025'!L:L)</f>
        <v>0</v>
      </c>
    </row>
    <row r="27" spans="1:6" ht="15.6">
      <c r="A27" s="10" t="s">
        <v>101</v>
      </c>
      <c r="B27" s="11">
        <f>AVERAGE('Maintenance History 2025'!L:L)</f>
        <v>0</v>
      </c>
    </row>
    <row r="28" spans="1:6" ht="15.6">
      <c r="A28" s="10" t="s">
        <v>102</v>
      </c>
      <c r="B28" s="12">
        <f>SUM('Maintenance History 2025'!P:P)</f>
        <v>0</v>
      </c>
    </row>
    <row r="29" spans="1:6" ht="15.6">
      <c r="A29" s="10" t="s">
        <v>103</v>
      </c>
      <c r="B29" s="12" t="e">
        <f>COUNTIF('Maintenance History 2025'!D:D,"Preventive")/COUNTIF('Maintenance History 2025'!D:D,"Repair")</f>
        <v>#DIV/0!</v>
      </c>
      <c r="C29" t="s">
        <v>104</v>
      </c>
    </row>
  </sheetData>
  <mergeCells count="4">
    <mergeCell ref="A1:F1"/>
    <mergeCell ref="A9:F9"/>
    <mergeCell ref="A17:F17"/>
    <mergeCell ref="A24:C24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58"/>
  <sheetViews>
    <sheetView zoomScale="65" zoomScaleNormal="80" workbookViewId="0">
      <selection activeCell="K25" sqref="K25"/>
    </sheetView>
  </sheetViews>
  <sheetFormatPr defaultColWidth="8.6640625" defaultRowHeight="14.4"/>
  <cols>
    <col min="1" max="1" width="25.33203125" bestFit="1" customWidth="1"/>
    <col min="2" max="2" width="16" customWidth="1"/>
    <col min="3" max="3" width="15.6640625" customWidth="1"/>
    <col min="4" max="4" width="20" customWidth="1"/>
    <col min="5" max="5" width="14" customWidth="1"/>
    <col min="6" max="6" width="15" customWidth="1"/>
    <col min="7" max="8" width="12" customWidth="1"/>
    <col min="9" max="9" width="10" customWidth="1"/>
    <col min="10" max="10" width="12.109375" customWidth="1"/>
    <col min="11" max="11" width="104.21875" customWidth="1"/>
    <col min="22" max="22" width="20.21875" bestFit="1" customWidth="1"/>
  </cols>
  <sheetData>
    <row r="1" spans="1:11" ht="17.399999999999999">
      <c r="A1" s="57" t="s">
        <v>105</v>
      </c>
      <c r="B1" s="57"/>
      <c r="C1" s="57"/>
      <c r="D1" s="57"/>
      <c r="E1" s="57"/>
      <c r="F1" s="57"/>
      <c r="G1" s="57"/>
      <c r="H1" s="57"/>
      <c r="I1" s="57"/>
      <c r="J1" s="57"/>
      <c r="K1" s="57"/>
    </row>
    <row r="3" spans="1:11" ht="27.6">
      <c r="A3" s="2" t="s">
        <v>106</v>
      </c>
      <c r="B3" s="2" t="s">
        <v>77</v>
      </c>
      <c r="C3" s="2" t="s">
        <v>52</v>
      </c>
      <c r="D3" s="2" t="s">
        <v>70</v>
      </c>
      <c r="E3" s="2" t="s">
        <v>107</v>
      </c>
      <c r="F3" s="2" t="s">
        <v>108</v>
      </c>
      <c r="G3" s="2" t="s">
        <v>109</v>
      </c>
      <c r="H3" s="2" t="s">
        <v>110</v>
      </c>
      <c r="I3" s="2" t="s">
        <v>84</v>
      </c>
      <c r="J3" s="2" t="s">
        <v>124</v>
      </c>
      <c r="K3" s="2" t="s">
        <v>111</v>
      </c>
    </row>
    <row r="4" spans="1:11">
      <c r="A4" s="8" t="s">
        <v>193</v>
      </c>
      <c r="B4" s="8">
        <v>1105</v>
      </c>
      <c r="C4" s="8" t="s">
        <v>174</v>
      </c>
      <c r="D4" s="8" t="s">
        <v>194</v>
      </c>
      <c r="E4" s="9">
        <v>169.5</v>
      </c>
      <c r="F4" s="9"/>
      <c r="G4" s="20">
        <f>E4-F4</f>
        <v>169.5</v>
      </c>
      <c r="H4" s="22">
        <f t="shared" ref="H4:H11" si="0">IF(F4=0,0,G4/F4)</f>
        <v>0</v>
      </c>
      <c r="I4" s="21" t="str">
        <f t="shared" ref="I4:I10" si="1">IF(ABS(H4)&gt;0.1,"FLAG","OK")</f>
        <v>OK</v>
      </c>
      <c r="J4" s="30"/>
      <c r="K4" s="8" t="s">
        <v>210</v>
      </c>
    </row>
    <row r="5" spans="1:11">
      <c r="A5" s="8" t="s">
        <v>195</v>
      </c>
      <c r="B5" s="8">
        <v>1375</v>
      </c>
      <c r="C5" s="29" t="s">
        <v>196</v>
      </c>
      <c r="D5" s="8" t="s">
        <v>194</v>
      </c>
      <c r="E5" s="9">
        <v>7825.25</v>
      </c>
      <c r="F5" s="9">
        <v>7825</v>
      </c>
      <c r="G5" s="20">
        <f>E5-F5</f>
        <v>0.25</v>
      </c>
      <c r="H5" s="22">
        <f t="shared" si="0"/>
        <v>3.1948881789137381E-5</v>
      </c>
      <c r="I5" s="21" t="str">
        <f t="shared" si="1"/>
        <v>OK</v>
      </c>
      <c r="J5" s="30"/>
      <c r="K5" s="8" t="s">
        <v>197</v>
      </c>
    </row>
    <row r="6" spans="1:11">
      <c r="A6" s="8" t="s">
        <v>198</v>
      </c>
      <c r="B6" s="8">
        <v>1387</v>
      </c>
      <c r="C6" s="8" t="s">
        <v>199</v>
      </c>
      <c r="D6" s="8" t="s">
        <v>194</v>
      </c>
      <c r="E6" s="61">
        <v>1017</v>
      </c>
      <c r="F6" s="61">
        <v>1017</v>
      </c>
      <c r="G6" s="58">
        <f>SUM(E6:E11)-SUM(F6:F11)</f>
        <v>0</v>
      </c>
      <c r="H6" s="22">
        <f t="shared" si="0"/>
        <v>0</v>
      </c>
      <c r="I6" s="21" t="str">
        <f t="shared" si="1"/>
        <v>OK</v>
      </c>
      <c r="J6" s="30"/>
      <c r="K6" s="8" t="s">
        <v>210</v>
      </c>
    </row>
    <row r="7" spans="1:11">
      <c r="A7" s="8" t="s">
        <v>198</v>
      </c>
      <c r="B7" s="8">
        <v>1387</v>
      </c>
      <c r="C7" s="8" t="s">
        <v>164</v>
      </c>
      <c r="D7" s="8" t="s">
        <v>194</v>
      </c>
      <c r="E7" s="62"/>
      <c r="F7" s="62"/>
      <c r="G7" s="59"/>
      <c r="H7" s="22">
        <f t="shared" si="0"/>
        <v>0</v>
      </c>
      <c r="I7" s="21" t="str">
        <f t="shared" si="1"/>
        <v>OK</v>
      </c>
      <c r="J7" s="30"/>
      <c r="K7" s="8" t="s">
        <v>210</v>
      </c>
    </row>
    <row r="8" spans="1:11">
      <c r="A8" s="8" t="s">
        <v>198</v>
      </c>
      <c r="B8" s="8">
        <v>1387</v>
      </c>
      <c r="C8" s="30" t="s">
        <v>196</v>
      </c>
      <c r="D8" s="8" t="s">
        <v>194</v>
      </c>
      <c r="E8" s="62"/>
      <c r="F8" s="62"/>
      <c r="G8" s="59"/>
      <c r="H8" s="22">
        <f t="shared" si="0"/>
        <v>0</v>
      </c>
      <c r="I8" s="21" t="str">
        <f t="shared" si="1"/>
        <v>OK</v>
      </c>
      <c r="J8" s="30"/>
      <c r="K8" s="8" t="s">
        <v>210</v>
      </c>
    </row>
    <row r="9" spans="1:11">
      <c r="A9" s="8" t="s">
        <v>198</v>
      </c>
      <c r="B9" s="8">
        <v>1387</v>
      </c>
      <c r="C9" s="8" t="s">
        <v>166</v>
      </c>
      <c r="D9" s="8" t="s">
        <v>194</v>
      </c>
      <c r="E9" s="62"/>
      <c r="F9" s="62"/>
      <c r="G9" s="59"/>
      <c r="H9" s="22">
        <f t="shared" si="0"/>
        <v>0</v>
      </c>
      <c r="I9" s="21" t="str">
        <f t="shared" si="1"/>
        <v>OK</v>
      </c>
      <c r="J9" s="30"/>
      <c r="K9" s="8" t="s">
        <v>210</v>
      </c>
    </row>
    <row r="10" spans="1:11">
      <c r="A10" s="8" t="s">
        <v>198</v>
      </c>
      <c r="B10" s="8">
        <v>1387</v>
      </c>
      <c r="C10" s="30" t="s">
        <v>196</v>
      </c>
      <c r="D10" s="8" t="s">
        <v>194</v>
      </c>
      <c r="E10" s="62"/>
      <c r="F10" s="62"/>
      <c r="G10" s="59"/>
      <c r="H10" s="22">
        <f t="shared" si="0"/>
        <v>0</v>
      </c>
      <c r="I10" s="21" t="str">
        <f t="shared" si="1"/>
        <v>OK</v>
      </c>
      <c r="J10" s="30"/>
      <c r="K10" s="8" t="s">
        <v>210</v>
      </c>
    </row>
    <row r="11" spans="1:11">
      <c r="A11" s="8" t="s">
        <v>198</v>
      </c>
      <c r="B11" s="8">
        <v>1387</v>
      </c>
      <c r="C11" s="8" t="s">
        <v>171</v>
      </c>
      <c r="D11" s="8" t="s">
        <v>194</v>
      </c>
      <c r="E11" s="63"/>
      <c r="F11" s="63"/>
      <c r="G11" s="60"/>
      <c r="H11" s="22">
        <f t="shared" si="0"/>
        <v>0</v>
      </c>
      <c r="I11" s="21" t="str">
        <f t="shared" ref="I11:I50" si="2">IF(ABS(H11)&gt;0.1,"FLAG","OK")</f>
        <v>OK</v>
      </c>
      <c r="J11" s="30"/>
      <c r="K11" s="8" t="s">
        <v>210</v>
      </c>
    </row>
    <row r="12" spans="1:11">
      <c r="A12" s="8" t="s">
        <v>200</v>
      </c>
      <c r="B12" s="8">
        <v>1441</v>
      </c>
      <c r="C12" s="8" t="s">
        <v>199</v>
      </c>
      <c r="D12" s="8" t="s">
        <v>194</v>
      </c>
      <c r="E12" s="9">
        <v>747.01</v>
      </c>
      <c r="F12" s="9">
        <v>747</v>
      </c>
      <c r="G12" s="20">
        <f t="shared" ref="G12:G50" si="3">E12-F12</f>
        <v>9.9999999999909051E-3</v>
      </c>
      <c r="H12" s="22">
        <f t="shared" ref="H12:H50" si="4">IF(F12=0,0,G12/F12)</f>
        <v>1.3386880856748199E-5</v>
      </c>
      <c r="I12" s="21" t="str">
        <f t="shared" si="2"/>
        <v>OK</v>
      </c>
      <c r="J12" s="30"/>
      <c r="K12" s="8" t="s">
        <v>201</v>
      </c>
    </row>
    <row r="13" spans="1:11">
      <c r="A13" s="8" t="s">
        <v>198</v>
      </c>
      <c r="B13" s="8">
        <v>1417</v>
      </c>
      <c r="C13" s="30" t="s">
        <v>196</v>
      </c>
      <c r="D13" s="8" t="s">
        <v>194</v>
      </c>
      <c r="E13" s="9">
        <v>1067.49</v>
      </c>
      <c r="F13" s="9"/>
      <c r="G13" s="20">
        <f t="shared" si="3"/>
        <v>1067.49</v>
      </c>
      <c r="H13" s="22">
        <f t="shared" si="4"/>
        <v>0</v>
      </c>
      <c r="I13" s="21" t="str">
        <f t="shared" si="2"/>
        <v>OK</v>
      </c>
      <c r="J13" s="30"/>
      <c r="K13" s="8" t="s">
        <v>202</v>
      </c>
    </row>
    <row r="14" spans="1:11">
      <c r="A14" s="8" t="s">
        <v>198</v>
      </c>
      <c r="B14" s="8">
        <v>1416</v>
      </c>
      <c r="C14" s="8" t="s">
        <v>166</v>
      </c>
      <c r="D14" s="8" t="s">
        <v>194</v>
      </c>
      <c r="E14" s="9">
        <v>1332.95</v>
      </c>
      <c r="F14" s="9"/>
      <c r="G14" s="20">
        <f t="shared" si="3"/>
        <v>1332.95</v>
      </c>
      <c r="H14" s="22">
        <f t="shared" si="4"/>
        <v>0</v>
      </c>
      <c r="I14" s="21" t="str">
        <f t="shared" si="2"/>
        <v>OK</v>
      </c>
      <c r="J14" s="30"/>
      <c r="K14" s="8" t="s">
        <v>203</v>
      </c>
    </row>
    <row r="15" spans="1:11">
      <c r="A15" s="8" t="s">
        <v>198</v>
      </c>
      <c r="B15" s="8">
        <v>1415</v>
      </c>
      <c r="C15" s="30" t="s">
        <v>196</v>
      </c>
      <c r="D15" s="8" t="s">
        <v>194</v>
      </c>
      <c r="E15" s="9">
        <v>1155.94</v>
      </c>
      <c r="F15" s="9"/>
      <c r="G15" s="20">
        <f t="shared" si="3"/>
        <v>1155.94</v>
      </c>
      <c r="H15" s="22">
        <f t="shared" si="4"/>
        <v>0</v>
      </c>
      <c r="I15" s="21" t="str">
        <f t="shared" si="2"/>
        <v>OK</v>
      </c>
      <c r="J15" s="30"/>
      <c r="K15" s="8" t="s">
        <v>204</v>
      </c>
    </row>
    <row r="16" spans="1:11">
      <c r="A16" s="31" t="s">
        <v>198</v>
      </c>
      <c r="B16" s="31">
        <v>1414</v>
      </c>
      <c r="C16" s="31" t="s">
        <v>199</v>
      </c>
      <c r="D16" s="31" t="s">
        <v>194</v>
      </c>
      <c r="E16" s="32">
        <v>1494.49</v>
      </c>
      <c r="F16" s="32"/>
      <c r="G16" s="32">
        <f t="shared" si="3"/>
        <v>1494.49</v>
      </c>
      <c r="H16" s="33">
        <f t="shared" si="4"/>
        <v>0</v>
      </c>
      <c r="I16" s="31" t="str">
        <f t="shared" si="2"/>
        <v>OK</v>
      </c>
      <c r="J16" s="31"/>
      <c r="K16" s="43" t="s">
        <v>241</v>
      </c>
    </row>
    <row r="17" spans="1:11">
      <c r="A17" s="31" t="s">
        <v>200</v>
      </c>
      <c r="B17" s="31">
        <v>1435</v>
      </c>
      <c r="C17" s="31" t="s">
        <v>196</v>
      </c>
      <c r="D17" s="31" t="s">
        <v>194</v>
      </c>
      <c r="E17" s="32">
        <v>0</v>
      </c>
      <c r="F17" s="32">
        <v>50172</v>
      </c>
      <c r="G17" s="32">
        <f t="shared" si="3"/>
        <v>-50172</v>
      </c>
      <c r="H17" s="33">
        <f t="shared" si="4"/>
        <v>-1</v>
      </c>
      <c r="I17" s="31" t="str">
        <f t="shared" si="2"/>
        <v>FLAG</v>
      </c>
      <c r="J17" s="31"/>
      <c r="K17" s="31" t="s">
        <v>205</v>
      </c>
    </row>
    <row r="18" spans="1:11">
      <c r="A18" s="31" t="s">
        <v>206</v>
      </c>
      <c r="B18" s="31">
        <v>1471</v>
      </c>
      <c r="C18" s="31" t="s">
        <v>196</v>
      </c>
      <c r="D18" s="31" t="s">
        <v>194</v>
      </c>
      <c r="E18" s="32">
        <v>0</v>
      </c>
      <c r="F18" s="32">
        <v>2204</v>
      </c>
      <c r="G18" s="32">
        <f t="shared" si="3"/>
        <v>-2204</v>
      </c>
      <c r="H18" s="33">
        <f t="shared" si="4"/>
        <v>-1</v>
      </c>
      <c r="I18" s="31" t="str">
        <f t="shared" si="2"/>
        <v>FLAG</v>
      </c>
      <c r="J18" s="31"/>
      <c r="K18" s="31" t="s">
        <v>207</v>
      </c>
    </row>
    <row r="19" spans="1:11">
      <c r="A19" s="31" t="s">
        <v>208</v>
      </c>
      <c r="B19" s="31">
        <v>1483</v>
      </c>
      <c r="C19" s="31" t="s">
        <v>178</v>
      </c>
      <c r="D19" s="31" t="s">
        <v>194</v>
      </c>
      <c r="E19" s="32">
        <v>0</v>
      </c>
      <c r="F19" s="32">
        <v>598</v>
      </c>
      <c r="G19" s="32">
        <f t="shared" si="3"/>
        <v>-598</v>
      </c>
      <c r="H19" s="33">
        <f t="shared" si="4"/>
        <v>-1</v>
      </c>
      <c r="I19" s="31" t="str">
        <f t="shared" si="2"/>
        <v>FLAG</v>
      </c>
      <c r="J19" s="31"/>
      <c r="K19" s="31" t="s">
        <v>209</v>
      </c>
    </row>
    <row r="20" spans="1:11">
      <c r="A20" s="8" t="s">
        <v>193</v>
      </c>
      <c r="B20" s="8">
        <v>1438</v>
      </c>
      <c r="C20" s="8" t="s">
        <v>164</v>
      </c>
      <c r="D20" s="8" t="s">
        <v>194</v>
      </c>
      <c r="E20" s="9">
        <v>169.5</v>
      </c>
      <c r="F20" s="9">
        <v>170</v>
      </c>
      <c r="G20" s="20">
        <f t="shared" si="3"/>
        <v>-0.5</v>
      </c>
      <c r="H20" s="22">
        <f t="shared" si="4"/>
        <v>-2.9411764705882353E-3</v>
      </c>
      <c r="I20" s="21" t="str">
        <f t="shared" si="2"/>
        <v>OK</v>
      </c>
      <c r="J20" s="30"/>
      <c r="K20" s="8" t="s">
        <v>210</v>
      </c>
    </row>
    <row r="21" spans="1:11">
      <c r="A21" s="8" t="s">
        <v>211</v>
      </c>
      <c r="B21" s="8">
        <v>1552</v>
      </c>
      <c r="C21" s="29" t="s">
        <v>196</v>
      </c>
      <c r="D21" s="8" t="s">
        <v>194</v>
      </c>
      <c r="E21" s="9">
        <v>152.38</v>
      </c>
      <c r="F21" s="9">
        <v>152</v>
      </c>
      <c r="G21" s="20">
        <f t="shared" si="3"/>
        <v>0.37999999999999545</v>
      </c>
      <c r="H21" s="22">
        <f t="shared" si="4"/>
        <v>2.4999999999999701E-3</v>
      </c>
      <c r="I21" s="21" t="str">
        <f t="shared" si="2"/>
        <v>OK</v>
      </c>
      <c r="J21" s="30"/>
      <c r="K21" s="8" t="s">
        <v>212</v>
      </c>
    </row>
    <row r="22" spans="1:11">
      <c r="A22" s="29" t="s">
        <v>211</v>
      </c>
      <c r="B22" s="29">
        <v>1553</v>
      </c>
      <c r="C22" s="29" t="s">
        <v>199</v>
      </c>
      <c r="D22" s="29" t="s">
        <v>194</v>
      </c>
      <c r="E22" s="34">
        <v>378.19</v>
      </c>
      <c r="F22" s="34">
        <v>378.19</v>
      </c>
      <c r="G22" s="20">
        <f t="shared" si="3"/>
        <v>0</v>
      </c>
      <c r="H22" s="22">
        <f t="shared" si="4"/>
        <v>0</v>
      </c>
      <c r="I22" s="21" t="str">
        <f t="shared" si="2"/>
        <v>OK</v>
      </c>
      <c r="J22" s="30"/>
      <c r="K22" s="29" t="s">
        <v>213</v>
      </c>
    </row>
    <row r="23" spans="1:11">
      <c r="A23" s="8" t="s">
        <v>214</v>
      </c>
      <c r="B23" s="8">
        <v>1558</v>
      </c>
      <c r="C23" s="30" t="s">
        <v>196</v>
      </c>
      <c r="D23" s="8" t="s">
        <v>194</v>
      </c>
      <c r="E23" s="9">
        <v>196.12</v>
      </c>
      <c r="F23" s="9">
        <v>196.12</v>
      </c>
      <c r="G23" s="20">
        <f t="shared" si="3"/>
        <v>0</v>
      </c>
      <c r="H23" s="22">
        <f t="shared" si="4"/>
        <v>0</v>
      </c>
      <c r="I23" s="21" t="str">
        <f t="shared" si="2"/>
        <v>OK</v>
      </c>
      <c r="J23" s="30"/>
      <c r="K23" s="8" t="s">
        <v>215</v>
      </c>
    </row>
    <row r="24" spans="1:11">
      <c r="A24" s="8" t="s">
        <v>216</v>
      </c>
      <c r="B24" s="8">
        <v>1589</v>
      </c>
      <c r="C24" s="30" t="s">
        <v>196</v>
      </c>
      <c r="D24" s="8" t="s">
        <v>194</v>
      </c>
      <c r="E24" s="9">
        <v>1695</v>
      </c>
      <c r="F24" s="9"/>
      <c r="G24" s="20">
        <f t="shared" si="3"/>
        <v>1695</v>
      </c>
      <c r="H24" s="22">
        <f t="shared" si="4"/>
        <v>0</v>
      </c>
      <c r="I24" s="21" t="str">
        <f t="shared" si="2"/>
        <v>OK</v>
      </c>
      <c r="J24" s="30"/>
      <c r="K24" s="8" t="s">
        <v>220</v>
      </c>
    </row>
    <row r="25" spans="1:11">
      <c r="A25" s="8" t="s">
        <v>216</v>
      </c>
      <c r="B25" s="8">
        <v>1586</v>
      </c>
      <c r="C25" s="8" t="s">
        <v>166</v>
      </c>
      <c r="D25" s="8" t="s">
        <v>194</v>
      </c>
      <c r="E25" s="9">
        <v>645.04</v>
      </c>
      <c r="F25" s="9"/>
      <c r="G25" s="20">
        <f t="shared" si="3"/>
        <v>645.04</v>
      </c>
      <c r="H25" s="22">
        <f t="shared" si="4"/>
        <v>0</v>
      </c>
      <c r="I25" s="21" t="str">
        <f t="shared" si="2"/>
        <v>OK</v>
      </c>
      <c r="J25" s="30"/>
      <c r="K25" s="8" t="s">
        <v>217</v>
      </c>
    </row>
    <row r="26" spans="1:11">
      <c r="A26" s="31" t="s">
        <v>218</v>
      </c>
      <c r="B26" s="31">
        <v>1609</v>
      </c>
      <c r="C26" s="31" t="s">
        <v>196</v>
      </c>
      <c r="D26" s="31" t="s">
        <v>194</v>
      </c>
      <c r="E26" s="32">
        <v>0</v>
      </c>
      <c r="F26" s="32">
        <v>202</v>
      </c>
      <c r="G26" s="32">
        <f t="shared" si="3"/>
        <v>-202</v>
      </c>
      <c r="H26" s="33">
        <f t="shared" si="4"/>
        <v>-1</v>
      </c>
      <c r="I26" s="31" t="str">
        <f t="shared" si="2"/>
        <v>FLAG</v>
      </c>
      <c r="J26" s="31"/>
      <c r="K26" s="31" t="s">
        <v>219</v>
      </c>
    </row>
    <row r="27" spans="1:11">
      <c r="A27" s="31" t="s">
        <v>214</v>
      </c>
      <c r="B27" s="31">
        <v>1560</v>
      </c>
      <c r="C27" s="31" t="s">
        <v>174</v>
      </c>
      <c r="D27" s="31" t="s">
        <v>194</v>
      </c>
      <c r="E27" s="32">
        <v>1884</v>
      </c>
      <c r="F27" s="32">
        <v>2165</v>
      </c>
      <c r="G27" s="32">
        <f t="shared" si="3"/>
        <v>-281</v>
      </c>
      <c r="H27" s="33">
        <f t="shared" si="4"/>
        <v>-0.12979214780600462</v>
      </c>
      <c r="I27" s="31" t="str">
        <f t="shared" si="2"/>
        <v>FLAG</v>
      </c>
      <c r="J27" s="31"/>
      <c r="K27" s="31" t="s">
        <v>226</v>
      </c>
    </row>
    <row r="28" spans="1:11">
      <c r="A28" s="31" t="s">
        <v>227</v>
      </c>
      <c r="B28" s="31">
        <v>1566</v>
      </c>
      <c r="C28" s="31" t="s">
        <v>228</v>
      </c>
      <c r="D28" s="31" t="s">
        <v>194</v>
      </c>
      <c r="E28" s="32">
        <v>0</v>
      </c>
      <c r="F28" s="32">
        <v>7718</v>
      </c>
      <c r="G28" s="32">
        <f t="shared" si="3"/>
        <v>-7718</v>
      </c>
      <c r="H28" s="33">
        <f t="shared" si="4"/>
        <v>-1</v>
      </c>
      <c r="I28" s="31" t="str">
        <f t="shared" si="2"/>
        <v>FLAG</v>
      </c>
      <c r="J28" s="31"/>
      <c r="K28" s="31" t="s">
        <v>210</v>
      </c>
    </row>
    <row r="29" spans="1:11">
      <c r="A29" s="31" t="s">
        <v>216</v>
      </c>
      <c r="B29" s="31">
        <v>1593</v>
      </c>
      <c r="C29" s="31" t="s">
        <v>229</v>
      </c>
      <c r="D29" s="31" t="s">
        <v>194</v>
      </c>
      <c r="E29" s="32">
        <v>0</v>
      </c>
      <c r="F29" s="32">
        <v>470</v>
      </c>
      <c r="G29" s="32">
        <f t="shared" si="3"/>
        <v>-470</v>
      </c>
      <c r="H29" s="33">
        <f t="shared" si="4"/>
        <v>-1</v>
      </c>
      <c r="I29" s="31" t="str">
        <f t="shared" si="2"/>
        <v>FLAG</v>
      </c>
      <c r="J29" s="31"/>
      <c r="K29" s="31" t="s">
        <v>230</v>
      </c>
    </row>
    <row r="30" spans="1:11">
      <c r="A30" s="8" t="s">
        <v>231</v>
      </c>
      <c r="B30" s="8">
        <v>1257</v>
      </c>
      <c r="C30" s="8" t="s">
        <v>196</v>
      </c>
      <c r="D30" s="8" t="s">
        <v>194</v>
      </c>
      <c r="E30" s="9">
        <v>1125.28</v>
      </c>
      <c r="F30" s="9">
        <v>1125.28</v>
      </c>
      <c r="G30" s="20">
        <f t="shared" si="3"/>
        <v>0</v>
      </c>
      <c r="H30" s="22">
        <f t="shared" si="4"/>
        <v>0</v>
      </c>
      <c r="I30" s="21" t="str">
        <f t="shared" si="2"/>
        <v>OK</v>
      </c>
      <c r="J30" s="30"/>
      <c r="K30" s="8"/>
    </row>
    <row r="31" spans="1:11">
      <c r="A31" s="8" t="s">
        <v>232</v>
      </c>
      <c r="B31" s="8">
        <v>1259</v>
      </c>
      <c r="C31" s="8" t="s">
        <v>196</v>
      </c>
      <c r="D31" s="8" t="s">
        <v>194</v>
      </c>
      <c r="E31" s="9">
        <v>1282.6500000000001</v>
      </c>
      <c r="F31" s="9">
        <v>1283</v>
      </c>
      <c r="G31" s="20">
        <f t="shared" si="3"/>
        <v>-0.34999999999990905</v>
      </c>
      <c r="H31" s="22">
        <f t="shared" si="4"/>
        <v>-2.7279812938418478E-4</v>
      </c>
      <c r="I31" s="21" t="str">
        <f t="shared" si="2"/>
        <v>OK</v>
      </c>
      <c r="J31" s="30"/>
      <c r="K31" s="8"/>
    </row>
    <row r="32" spans="1:11">
      <c r="A32" s="8" t="s">
        <v>231</v>
      </c>
      <c r="B32" s="8">
        <v>1259</v>
      </c>
      <c r="C32" s="8" t="s">
        <v>196</v>
      </c>
      <c r="D32" s="8" t="s">
        <v>194</v>
      </c>
      <c r="E32" s="9">
        <v>1449.9</v>
      </c>
      <c r="F32" s="9">
        <v>1450</v>
      </c>
      <c r="G32" s="20">
        <f t="shared" si="3"/>
        <v>-9.9999999999909051E-2</v>
      </c>
      <c r="H32" s="22">
        <f t="shared" si="4"/>
        <v>-6.8965517241316592E-5</v>
      </c>
      <c r="I32" s="21" t="str">
        <f t="shared" si="2"/>
        <v>OK</v>
      </c>
      <c r="J32" s="30"/>
      <c r="K32" s="8"/>
    </row>
    <row r="33" spans="1:22" ht="13.8" customHeight="1">
      <c r="A33" s="3" t="s">
        <v>231</v>
      </c>
      <c r="B33" s="3">
        <v>1260</v>
      </c>
      <c r="C33" s="3" t="s">
        <v>196</v>
      </c>
      <c r="D33" s="3" t="s">
        <v>194</v>
      </c>
      <c r="E33" s="5">
        <v>990.81</v>
      </c>
      <c r="F33" s="5">
        <v>991</v>
      </c>
      <c r="G33" s="23">
        <f t="shared" si="3"/>
        <v>-0.19000000000005457</v>
      </c>
      <c r="H33" s="41">
        <f t="shared" si="4"/>
        <v>-1.9172552976796627E-4</v>
      </c>
      <c r="I33" s="25" t="str">
        <f t="shared" si="2"/>
        <v>OK</v>
      </c>
      <c r="J33" s="42"/>
      <c r="K33" s="3"/>
      <c r="V33" s="40">
        <f>SUM(F16:F19,F26:F29,F50)</f>
        <v>64566</v>
      </c>
    </row>
    <row r="34" spans="1:22">
      <c r="A34" s="8" t="s">
        <v>231</v>
      </c>
      <c r="B34" s="8">
        <v>1261</v>
      </c>
      <c r="C34" s="8" t="s">
        <v>196</v>
      </c>
      <c r="D34" s="8" t="s">
        <v>194</v>
      </c>
      <c r="E34" s="9">
        <v>726.72</v>
      </c>
      <c r="F34" s="9">
        <v>727</v>
      </c>
      <c r="G34" s="20">
        <f t="shared" si="3"/>
        <v>-0.27999999999997272</v>
      </c>
      <c r="H34" s="22">
        <f t="shared" si="4"/>
        <v>-3.8514442916089782E-4</v>
      </c>
      <c r="I34" s="21" t="str">
        <f t="shared" si="2"/>
        <v>OK</v>
      </c>
      <c r="J34" s="30"/>
      <c r="K34" s="8"/>
    </row>
    <row r="35" spans="1:22">
      <c r="A35" s="8" t="s">
        <v>231</v>
      </c>
      <c r="B35" s="8">
        <v>1262</v>
      </c>
      <c r="C35" s="8" t="s">
        <v>196</v>
      </c>
      <c r="D35" s="8" t="s">
        <v>194</v>
      </c>
      <c r="E35" s="9">
        <v>1186.5</v>
      </c>
      <c r="F35" s="9">
        <v>1186.5</v>
      </c>
      <c r="G35" s="20">
        <f t="shared" si="3"/>
        <v>0</v>
      </c>
      <c r="H35" s="22">
        <f t="shared" si="4"/>
        <v>0</v>
      </c>
      <c r="I35" s="21" t="str">
        <f t="shared" si="2"/>
        <v>OK</v>
      </c>
      <c r="J35" s="30"/>
      <c r="K35" s="8"/>
    </row>
    <row r="36" spans="1:22">
      <c r="A36" s="8" t="s">
        <v>233</v>
      </c>
      <c r="B36" s="8">
        <v>1288</v>
      </c>
      <c r="C36" s="8" t="s">
        <v>196</v>
      </c>
      <c r="D36" s="8" t="s">
        <v>194</v>
      </c>
      <c r="E36" s="9">
        <v>326.57</v>
      </c>
      <c r="F36" s="9">
        <v>327</v>
      </c>
      <c r="G36" s="20">
        <f t="shared" si="3"/>
        <v>-0.43000000000000682</v>
      </c>
      <c r="H36" s="22">
        <f t="shared" si="4"/>
        <v>-1.3149847094801432E-3</v>
      </c>
      <c r="I36" s="21" t="str">
        <f t="shared" si="2"/>
        <v>OK</v>
      </c>
      <c r="J36" s="30"/>
      <c r="K36" s="8"/>
    </row>
    <row r="37" spans="1:22">
      <c r="A37" s="8" t="s">
        <v>233</v>
      </c>
      <c r="B37" s="8">
        <v>1291</v>
      </c>
      <c r="C37" s="8" t="s">
        <v>196</v>
      </c>
      <c r="D37" s="8" t="s">
        <v>194</v>
      </c>
      <c r="E37" s="9">
        <v>1097.9100000000001</v>
      </c>
      <c r="F37" s="9">
        <v>1098</v>
      </c>
      <c r="G37" s="20">
        <f t="shared" si="3"/>
        <v>-8.9999999999918145E-2</v>
      </c>
      <c r="H37" s="22">
        <f t="shared" si="4"/>
        <v>-8.1967213114679546E-5</v>
      </c>
      <c r="I37" s="21" t="str">
        <f t="shared" si="2"/>
        <v>OK</v>
      </c>
      <c r="J37" s="30"/>
      <c r="K37" s="8"/>
    </row>
    <row r="38" spans="1:22">
      <c r="A38" s="8" t="s">
        <v>234</v>
      </c>
      <c r="B38" s="8">
        <v>1092</v>
      </c>
      <c r="C38" s="8" t="s">
        <v>196</v>
      </c>
      <c r="D38" s="8" t="s">
        <v>194</v>
      </c>
      <c r="E38" s="9">
        <v>1328.8</v>
      </c>
      <c r="F38" s="9">
        <v>1329</v>
      </c>
      <c r="G38" s="20">
        <f t="shared" si="3"/>
        <v>-0.20000000000004547</v>
      </c>
      <c r="H38" s="22">
        <f t="shared" si="4"/>
        <v>-1.5048908954104248E-4</v>
      </c>
      <c r="I38" s="21" t="str">
        <f t="shared" si="2"/>
        <v>OK</v>
      </c>
      <c r="J38" s="30"/>
      <c r="K38" s="8"/>
    </row>
    <row r="39" spans="1:22">
      <c r="A39" s="8" t="s">
        <v>234</v>
      </c>
      <c r="B39" s="8">
        <v>1144</v>
      </c>
      <c r="C39" s="8" t="s">
        <v>196</v>
      </c>
      <c r="D39" s="8" t="s">
        <v>194</v>
      </c>
      <c r="E39" s="9">
        <v>1162.77</v>
      </c>
      <c r="F39" s="9">
        <v>1163</v>
      </c>
      <c r="G39" s="20">
        <f t="shared" si="3"/>
        <v>-0.23000000000001819</v>
      </c>
      <c r="H39" s="22">
        <f t="shared" si="4"/>
        <v>-1.9776440240758229E-4</v>
      </c>
      <c r="I39" s="21" t="str">
        <f t="shared" si="2"/>
        <v>OK</v>
      </c>
      <c r="J39" s="30"/>
      <c r="K39" s="8"/>
    </row>
    <row r="40" spans="1:22">
      <c r="A40" s="8" t="s">
        <v>234</v>
      </c>
      <c r="B40" s="8">
        <v>1145</v>
      </c>
      <c r="C40" s="8" t="s">
        <v>196</v>
      </c>
      <c r="D40" s="8" t="s">
        <v>194</v>
      </c>
      <c r="E40" s="9">
        <v>185</v>
      </c>
      <c r="F40" s="9">
        <v>185</v>
      </c>
      <c r="G40" s="20">
        <f t="shared" si="3"/>
        <v>0</v>
      </c>
      <c r="H40" s="22">
        <f t="shared" si="4"/>
        <v>0</v>
      </c>
      <c r="I40" s="21" t="str">
        <f t="shared" si="2"/>
        <v>OK</v>
      </c>
      <c r="J40" s="30"/>
      <c r="K40" s="8"/>
    </row>
    <row r="41" spans="1:22">
      <c r="A41" s="8" t="s">
        <v>193</v>
      </c>
      <c r="B41" s="8">
        <v>1437</v>
      </c>
      <c r="C41" s="8" t="s">
        <v>196</v>
      </c>
      <c r="D41" s="8" t="s">
        <v>194</v>
      </c>
      <c r="E41" s="9">
        <v>169.5</v>
      </c>
      <c r="F41" s="9">
        <v>170</v>
      </c>
      <c r="G41" s="20">
        <f t="shared" si="3"/>
        <v>-0.5</v>
      </c>
      <c r="H41" s="22">
        <f t="shared" si="4"/>
        <v>-2.9411764705882353E-3</v>
      </c>
      <c r="I41" s="21" t="str">
        <f t="shared" si="2"/>
        <v>OK</v>
      </c>
      <c r="J41" s="30"/>
      <c r="K41" s="8"/>
    </row>
    <row r="42" spans="1:22">
      <c r="A42" s="8" t="s">
        <v>235</v>
      </c>
      <c r="B42" s="8">
        <v>1364</v>
      </c>
      <c r="C42" s="8" t="s">
        <v>196</v>
      </c>
      <c r="D42" s="8" t="s">
        <v>194</v>
      </c>
      <c r="E42" s="9">
        <v>847.5</v>
      </c>
      <c r="F42" s="9">
        <v>848</v>
      </c>
      <c r="G42" s="20">
        <f t="shared" si="3"/>
        <v>-0.5</v>
      </c>
      <c r="H42" s="22">
        <f t="shared" si="4"/>
        <v>-5.8962264150943394E-4</v>
      </c>
      <c r="I42" s="21" t="str">
        <f t="shared" si="2"/>
        <v>OK</v>
      </c>
      <c r="J42" s="30"/>
      <c r="K42" s="8"/>
    </row>
    <row r="43" spans="1:22">
      <c r="A43" s="8" t="s">
        <v>236</v>
      </c>
      <c r="B43" s="8">
        <v>1522</v>
      </c>
      <c r="C43" s="8" t="s">
        <v>196</v>
      </c>
      <c r="D43" s="8" t="s">
        <v>194</v>
      </c>
      <c r="E43" s="9">
        <v>956</v>
      </c>
      <c r="F43" s="9">
        <v>956</v>
      </c>
      <c r="G43" s="20">
        <f t="shared" si="3"/>
        <v>0</v>
      </c>
      <c r="H43" s="22">
        <f t="shared" si="4"/>
        <v>0</v>
      </c>
      <c r="I43" s="21" t="str">
        <f t="shared" si="2"/>
        <v>OK</v>
      </c>
      <c r="J43" s="30"/>
      <c r="K43" s="8"/>
    </row>
    <row r="44" spans="1:22">
      <c r="A44" s="8" t="s">
        <v>237</v>
      </c>
      <c r="B44" s="8">
        <v>1533</v>
      </c>
      <c r="C44" s="8" t="s">
        <v>196</v>
      </c>
      <c r="D44" s="8" t="s">
        <v>194</v>
      </c>
      <c r="E44" s="9">
        <v>2567.25</v>
      </c>
      <c r="F44" s="9">
        <v>2567</v>
      </c>
      <c r="G44" s="20">
        <f t="shared" si="3"/>
        <v>0.25</v>
      </c>
      <c r="H44" s="22">
        <f t="shared" si="4"/>
        <v>9.7389949357226335E-5</v>
      </c>
      <c r="I44" s="21" t="str">
        <f t="shared" si="2"/>
        <v>OK</v>
      </c>
      <c r="J44" s="30"/>
      <c r="K44" s="8"/>
    </row>
    <row r="45" spans="1:22">
      <c r="A45" s="31" t="s">
        <v>238</v>
      </c>
      <c r="B45" s="31">
        <v>1540</v>
      </c>
      <c r="C45" s="31" t="s">
        <v>196</v>
      </c>
      <c r="D45" s="31" t="s">
        <v>194</v>
      </c>
      <c r="E45" s="32">
        <v>0</v>
      </c>
      <c r="F45" s="32">
        <v>0</v>
      </c>
      <c r="G45" s="32">
        <f t="shared" si="3"/>
        <v>0</v>
      </c>
      <c r="H45" s="33">
        <f t="shared" si="4"/>
        <v>0</v>
      </c>
      <c r="I45" s="31" t="str">
        <f t="shared" si="2"/>
        <v>OK</v>
      </c>
      <c r="J45" s="31"/>
      <c r="K45" s="37"/>
    </row>
    <row r="46" spans="1:22">
      <c r="A46" s="31" t="s">
        <v>238</v>
      </c>
      <c r="B46" s="31">
        <v>1541</v>
      </c>
      <c r="C46" s="31" t="s">
        <v>196</v>
      </c>
      <c r="D46" s="31" t="s">
        <v>194</v>
      </c>
      <c r="E46" s="31">
        <v>0</v>
      </c>
      <c r="F46" s="31">
        <v>0</v>
      </c>
      <c r="G46" s="32">
        <f t="shared" si="3"/>
        <v>0</v>
      </c>
      <c r="H46" s="32">
        <f t="shared" si="4"/>
        <v>0</v>
      </c>
      <c r="I46" s="32" t="str">
        <f t="shared" si="2"/>
        <v>OK</v>
      </c>
      <c r="J46" s="38"/>
      <c r="K46" s="26"/>
    </row>
    <row r="47" spans="1:22">
      <c r="A47" s="8" t="s">
        <v>238</v>
      </c>
      <c r="B47" s="8">
        <v>1546</v>
      </c>
      <c r="C47" s="8" t="s">
        <v>196</v>
      </c>
      <c r="D47" s="8" t="s">
        <v>194</v>
      </c>
      <c r="E47" s="9">
        <v>396.63</v>
      </c>
      <c r="F47" s="9">
        <v>397</v>
      </c>
      <c r="G47" s="20">
        <f t="shared" si="3"/>
        <v>-0.37000000000000455</v>
      </c>
      <c r="H47" s="22">
        <f t="shared" si="4"/>
        <v>-9.3198992443326077E-4</v>
      </c>
      <c r="I47" s="21" t="str">
        <f t="shared" si="2"/>
        <v>OK</v>
      </c>
      <c r="J47" s="35"/>
      <c r="K47" s="36"/>
    </row>
    <row r="48" spans="1:22">
      <c r="A48" s="8" t="s">
        <v>239</v>
      </c>
      <c r="B48" s="8">
        <v>1548</v>
      </c>
      <c r="C48" s="8" t="s">
        <v>196</v>
      </c>
      <c r="D48" s="8" t="s">
        <v>194</v>
      </c>
      <c r="E48" s="9">
        <v>495.53</v>
      </c>
      <c r="F48" s="9">
        <v>495.53</v>
      </c>
      <c r="G48" s="20">
        <f t="shared" si="3"/>
        <v>0</v>
      </c>
      <c r="H48" s="22">
        <f t="shared" si="4"/>
        <v>0</v>
      </c>
      <c r="I48" s="21" t="str">
        <f t="shared" si="2"/>
        <v>OK</v>
      </c>
      <c r="J48" s="35"/>
      <c r="K48" s="36"/>
    </row>
    <row r="49" spans="1:11">
      <c r="A49" s="8" t="s">
        <v>239</v>
      </c>
      <c r="B49" s="8">
        <v>1549</v>
      </c>
      <c r="C49" s="8" t="s">
        <v>196</v>
      </c>
      <c r="D49" s="8" t="s">
        <v>194</v>
      </c>
      <c r="E49" s="9">
        <v>495.19</v>
      </c>
      <c r="F49" s="9">
        <v>495.19</v>
      </c>
      <c r="G49" s="20">
        <f t="shared" si="3"/>
        <v>0</v>
      </c>
      <c r="H49" s="22">
        <f t="shared" si="4"/>
        <v>0</v>
      </c>
      <c r="I49" s="21" t="str">
        <f t="shared" si="2"/>
        <v>OK</v>
      </c>
      <c r="J49" s="35"/>
      <c r="K49" s="36"/>
    </row>
    <row r="50" spans="1:11">
      <c r="A50" s="31" t="s">
        <v>240</v>
      </c>
      <c r="B50" s="31">
        <v>1636</v>
      </c>
      <c r="C50" s="31" t="s">
        <v>196</v>
      </c>
      <c r="D50" s="31" t="s">
        <v>194</v>
      </c>
      <c r="E50" s="32">
        <v>0</v>
      </c>
      <c r="F50" s="32">
        <v>1037</v>
      </c>
      <c r="G50" s="32">
        <f t="shared" si="3"/>
        <v>-1037</v>
      </c>
      <c r="H50" s="33">
        <f t="shared" si="4"/>
        <v>-1</v>
      </c>
      <c r="I50" s="31" t="str">
        <f t="shared" si="2"/>
        <v>FLAG</v>
      </c>
      <c r="J50" s="31"/>
      <c r="K50" s="39"/>
    </row>
    <row r="51" spans="1:1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</row>
    <row r="52" spans="1:1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</row>
    <row r="53" spans="1:11" ht="15.6">
      <c r="A53" s="1" t="s">
        <v>112</v>
      </c>
    </row>
    <row r="55" spans="1:11">
      <c r="A55" s="10" t="s">
        <v>113</v>
      </c>
      <c r="B55" s="13">
        <f>SUM(E4:E8)</f>
        <v>9011.75</v>
      </c>
    </row>
    <row r="56" spans="1:11">
      <c r="A56" s="10" t="s">
        <v>114</v>
      </c>
      <c r="B56" s="13">
        <f>SUM(F4:F8)</f>
        <v>8842</v>
      </c>
    </row>
    <row r="57" spans="1:11">
      <c r="A57" s="10" t="s">
        <v>115</v>
      </c>
      <c r="B57" s="13">
        <f>SUM(G4:G8)</f>
        <v>169.75</v>
      </c>
    </row>
    <row r="58" spans="1:11">
      <c r="A58" s="10" t="s">
        <v>116</v>
      </c>
      <c r="B58" s="10">
        <f>COUNTIF(I4:I8,"FLAG")</f>
        <v>0</v>
      </c>
    </row>
  </sheetData>
  <mergeCells count="4">
    <mergeCell ref="A1:K1"/>
    <mergeCell ref="G6:G11"/>
    <mergeCell ref="F6:F11"/>
    <mergeCell ref="E6:E11"/>
  </mergeCells>
  <pageMargins left="0.75" right="0.75" top="1" bottom="1" header="0.511811023622047" footer="0.511811023622047"/>
  <pageSetup paperSize="9" orientation="portrait" horizontalDpi="300" verticalDpi="30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18B50-5485-498F-8E31-3053FAFE13DF}">
  <dimension ref="A1:C16"/>
  <sheetViews>
    <sheetView zoomScale="101" workbookViewId="0">
      <selection activeCell="C26" sqref="C26"/>
    </sheetView>
  </sheetViews>
  <sheetFormatPr defaultRowHeight="14.4"/>
  <cols>
    <col min="1" max="1" width="16" customWidth="1"/>
    <col min="2" max="2" width="48.88671875" bestFit="1" customWidth="1"/>
    <col min="3" max="3" width="47.21875" customWidth="1"/>
    <col min="4" max="5" width="13.6640625" customWidth="1"/>
    <col min="6" max="6" width="23" customWidth="1"/>
    <col min="7" max="7" width="13.6640625" customWidth="1"/>
    <col min="8" max="9" width="19.109375" customWidth="1"/>
    <col min="10" max="10" width="54.109375" customWidth="1"/>
  </cols>
  <sheetData>
    <row r="1" spans="1:3">
      <c r="A1" s="44" t="s">
        <v>246</v>
      </c>
      <c r="B1" s="44" t="s">
        <v>247</v>
      </c>
      <c r="C1" s="44" t="s">
        <v>245</v>
      </c>
    </row>
    <row r="2" spans="1:3" ht="108" customHeight="1">
      <c r="A2" s="45" t="s">
        <v>244</v>
      </c>
      <c r="B2" s="46" t="s">
        <v>248</v>
      </c>
      <c r="C2" s="47" t="s">
        <v>253</v>
      </c>
    </row>
    <row r="7" spans="1:3">
      <c r="B7" s="48" t="s">
        <v>249</v>
      </c>
      <c r="C7" s="48" t="s">
        <v>252</v>
      </c>
    </row>
    <row r="8" spans="1:3">
      <c r="B8" s="8" t="s">
        <v>250</v>
      </c>
      <c r="C8" s="8" t="s">
        <v>256</v>
      </c>
    </row>
    <row r="9" spans="1:3">
      <c r="B9" s="8" t="s">
        <v>251</v>
      </c>
      <c r="C9" s="8" t="s">
        <v>256</v>
      </c>
    </row>
    <row r="10" spans="1:3">
      <c r="B10" s="8" t="s">
        <v>254</v>
      </c>
      <c r="C10" s="8" t="s">
        <v>259</v>
      </c>
    </row>
    <row r="11" spans="1:3">
      <c r="B11" s="8" t="s">
        <v>255</v>
      </c>
      <c r="C11" s="8" t="s">
        <v>256</v>
      </c>
    </row>
    <row r="16" spans="1:3">
      <c r="B16" s="4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Instructions</vt:lpstr>
      <vt:lpstr>Equipment Master</vt:lpstr>
      <vt:lpstr>Maintenance History 2025</vt:lpstr>
      <vt:lpstr>PM Schedule 2026-2027</vt:lpstr>
      <vt:lpstr>Dashboard</vt:lpstr>
      <vt:lpstr>Cost Analysis</vt:lpstr>
      <vt:lpstr>Invoice Verification</vt:lpstr>
      <vt:lpstr>Action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Yara Salameh</cp:lastModifiedBy>
  <cp:revision>0</cp:revision>
  <dcterms:created xsi:type="dcterms:W3CDTF">2026-02-07T19:16:18Z</dcterms:created>
  <dcterms:modified xsi:type="dcterms:W3CDTF">2026-04-02T13:20:22Z</dcterms:modified>
  <dc:language>en-US</dc:language>
</cp:coreProperties>
</file>